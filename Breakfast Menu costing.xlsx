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UST_BACKUP_2021\MUST_BACKUP_2021\1-Salim\Ummahs Kitchen_Cafe\"/>
    </mc:Choice>
  </mc:AlternateContent>
  <xr:revisionPtr revIDLastSave="0" documentId="13_ncr:1_{01981CF4-8FC5-449D-969C-DFFBE8D26758}" xr6:coauthVersionLast="47" xr6:coauthVersionMax="47" xr10:uidLastSave="{00000000-0000-0000-0000-000000000000}"/>
  <bookViews>
    <workbookView xWindow="-108" yWindow="-108" windowWidth="23256" windowHeight="12456" xr2:uid="{5A5339FF-F92D-430B-A7BE-A02F1C8B24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N13" i="1" s="1"/>
  <c r="N10" i="1"/>
  <c r="N9" i="1"/>
  <c r="N8" i="1"/>
  <c r="N6" i="1"/>
  <c r="N4" i="1"/>
  <c r="N2" i="1"/>
  <c r="K28" i="1"/>
  <c r="K27" i="1"/>
  <c r="K26" i="1"/>
  <c r="K25" i="1"/>
  <c r="K29" i="1" s="1"/>
  <c r="N11" i="1" s="1"/>
  <c r="K21" i="1"/>
  <c r="K20" i="1"/>
  <c r="K22" i="1" s="1"/>
  <c r="K19" i="1"/>
  <c r="K18" i="1"/>
  <c r="K17" i="1"/>
  <c r="K13" i="1"/>
  <c r="K11" i="1"/>
  <c r="K10" i="1"/>
  <c r="K14" i="1" s="1"/>
  <c r="K12" i="1"/>
  <c r="E25" i="1"/>
  <c r="K4" i="1"/>
  <c r="K3" i="1"/>
  <c r="K6" i="1"/>
  <c r="K5" i="1"/>
  <c r="K2" i="1"/>
  <c r="E42" i="1"/>
  <c r="E41" i="1"/>
  <c r="E40" i="1"/>
  <c r="E39" i="1"/>
  <c r="E33" i="1"/>
  <c r="E34" i="1"/>
  <c r="E35" i="1"/>
  <c r="E32" i="1"/>
  <c r="E31" i="1"/>
  <c r="E27" i="1"/>
  <c r="E26" i="1"/>
  <c r="E24" i="1"/>
  <c r="E20" i="1"/>
  <c r="E19" i="1"/>
  <c r="E18" i="1"/>
  <c r="E17" i="1"/>
  <c r="E13" i="1"/>
  <c r="E12" i="1"/>
  <c r="E11" i="1"/>
  <c r="E10" i="1"/>
  <c r="E6" i="1"/>
  <c r="E5" i="1"/>
  <c r="E4" i="1"/>
  <c r="E3" i="1"/>
  <c r="E2" i="1"/>
  <c r="E43" i="1" l="1"/>
  <c r="E36" i="1"/>
  <c r="K7" i="1"/>
  <c r="N7" i="1" s="1"/>
  <c r="E28" i="1"/>
  <c r="N5" i="1" s="1"/>
  <c r="E14" i="1"/>
  <c r="N3" i="1" s="1"/>
  <c r="E7" i="1"/>
  <c r="E21" i="1"/>
</calcChain>
</file>

<file path=xl/sharedStrings.xml><?xml version="1.0" encoding="utf-8"?>
<sst xmlns="http://schemas.openxmlformats.org/spreadsheetml/2006/main" count="118" uniqueCount="44">
  <si>
    <t>Date</t>
  </si>
  <si>
    <t>Item</t>
  </si>
  <si>
    <t>Qty</t>
  </si>
  <si>
    <t>Rate</t>
  </si>
  <si>
    <t>Idiy</t>
  </si>
  <si>
    <t>Vada</t>
  </si>
  <si>
    <t>Total</t>
  </si>
  <si>
    <t>Pongal</t>
  </si>
  <si>
    <t>Sambar</t>
  </si>
  <si>
    <t>Chutney</t>
  </si>
  <si>
    <t>Day 1 Total</t>
  </si>
  <si>
    <t>Idiyappam</t>
  </si>
  <si>
    <t>Poratta</t>
  </si>
  <si>
    <t>Chicken Gravy</t>
  </si>
  <si>
    <t>Veg Stew</t>
  </si>
  <si>
    <t>Day 2 Total</t>
  </si>
  <si>
    <t>Poori</t>
  </si>
  <si>
    <t>Potato Masala</t>
  </si>
  <si>
    <t>Lemon Sevai</t>
  </si>
  <si>
    <t>Day 3 Total</t>
  </si>
  <si>
    <t>Chicken Semiya</t>
  </si>
  <si>
    <t>Egg kothu Poratta</t>
  </si>
  <si>
    <t>Raita</t>
  </si>
  <si>
    <t>Day 4 Total</t>
  </si>
  <si>
    <t>Day 5 Total</t>
  </si>
  <si>
    <t>Day 6 Total</t>
  </si>
  <si>
    <t>Day 7 Total</t>
  </si>
  <si>
    <t>Tomato Sevai</t>
  </si>
  <si>
    <t>Day 8 Total</t>
  </si>
  <si>
    <t>Day 9 Total</t>
  </si>
  <si>
    <t>Salna</t>
  </si>
  <si>
    <t>Day 10 Total</t>
  </si>
  <si>
    <t>Amount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</si>
  <si>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</si>
  <si>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</si>
  <si>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</si>
  <si>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</si>
  <si>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</si>
  <si>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</si>
  <si>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</si>
  <si>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</si>
  <si>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</si>
  <si>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</si>
  <si>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Tax 8.25%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</si>
</sst>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1" fillId="2" borderId="1" xfId="0" applyFont="1" applyFill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2D6F2-6C31-4B73-B266-CCD82A72D366}">
  <dimension ref="A1:N43"/>
  <sheetViews>
    <sheetView tabSelected="1" topLeftCell="A6" workbookViewId="0">
      <selection activeCell="Q33" sqref="Q33"/>
    </sheetView>
  </sheetViews>
  <sheetFormatPr defaultRowHeight="14.4" x14ac:dyDescent="0.3"/>
  <cols>
    <col min="1" max="1" width="10.21875" bestFit="1" customWidth="1"/>
    <col min="2" max="2" width="15.5546875" bestFit="1" customWidth="1"/>
    <col min="3" max="3" width="5.5546875" bestFit="1" customWidth="1"/>
    <col min="4" max="4" width="6.5546875" bestFit="1" customWidth="1"/>
    <col min="5" max="5" width="7.5546875" bestFit="1" customWidth="1"/>
    <col min="7" max="7" width="10.21875" bestFit="1" customWidth="1"/>
    <col min="8" max="8" width="15.5546875" bestFit="1" customWidth="1"/>
    <col min="9" max="9" width="5.5546875" bestFit="1" customWidth="1"/>
    <col min="10" max="10" width="6.5546875" bestFit="1" customWidth="1"/>
    <col min="11" max="11" width="7.5546875" bestFit="1" customWidth="1"/>
  </cols>
  <sheetData>
    <row r="1" spans="1:1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6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6</v>
      </c>
      <c r="M1" s="4" t="s">
        <v>0</v>
      </c>
      <c r="N1" s="4" t="s">
        <v>32</v>
      </c>
    </row>
    <row r="2" spans="1:14" x14ac:dyDescent="0.3">
      <c r="A2" s="2">
        <v>45485</v>
      </c>
      <c r="B2" s="1" t="s">
        <v>4</v>
      </c>
      <c r="C2" s="7">
        <v>90</v>
      </c>
      <c r="D2" s="3">
        <v>1.5</v>
      </c>
      <c r="E2" s="3">
        <f>C2*D2</f>
        <v>135</v>
      </c>
      <c r="G2" s="2">
        <v>45491</v>
      </c>
      <c r="H2" s="1" t="s">
        <v>4</v>
      </c>
      <c r="I2" s="7">
        <v>90</v>
      </c>
      <c r="J2" s="3">
        <v>1.5</v>
      </c>
      <c r="K2" s="3">
        <f>I2*J2</f>
        <v>135</v>
      </c>
      <c r="M2" s="1" t="s">
        <v>33</v>
      </c>
      <c r="N2" s="3">
        <f>E7</f>
        <v>412.5</v>
      </c>
    </row>
    <row r="3" spans="1:14" x14ac:dyDescent="0.3">
      <c r="A3" s="2">
        <v>45485</v>
      </c>
      <c r="B3" s="1" t="s">
        <v>5</v>
      </c>
      <c r="C3" s="7">
        <v>50</v>
      </c>
      <c r="D3" s="3">
        <v>1.75</v>
      </c>
      <c r="E3" s="3">
        <f>C3*D3</f>
        <v>87.5</v>
      </c>
      <c r="G3" s="2">
        <v>45491</v>
      </c>
      <c r="H3" s="1" t="s">
        <v>12</v>
      </c>
      <c r="I3" s="7">
        <v>50</v>
      </c>
      <c r="J3" s="3">
        <v>1.5</v>
      </c>
      <c r="K3" s="3">
        <f>I3*J3</f>
        <v>75</v>
      </c>
      <c r="M3" s="1" t="s">
        <v>34</v>
      </c>
      <c r="N3" s="3">
        <f>E14</f>
        <v>440</v>
      </c>
    </row>
    <row r="4" spans="1:14" x14ac:dyDescent="0.3">
      <c r="A4" s="2">
        <v>45485</v>
      </c>
      <c r="B4" s="1" t="s">
        <v>7</v>
      </c>
      <c r="C4" s="7">
        <v>2</v>
      </c>
      <c r="D4" s="3">
        <v>45</v>
      </c>
      <c r="E4" s="3">
        <f>C4*D4</f>
        <v>90</v>
      </c>
      <c r="G4" s="2">
        <v>45491</v>
      </c>
      <c r="H4" s="1" t="s">
        <v>13</v>
      </c>
      <c r="I4" s="7">
        <v>2</v>
      </c>
      <c r="J4" s="3">
        <v>70</v>
      </c>
      <c r="K4" s="3">
        <f>I4*J4</f>
        <v>140</v>
      </c>
      <c r="M4" s="1" t="s">
        <v>35</v>
      </c>
      <c r="N4" s="3">
        <f>E21</f>
        <v>340</v>
      </c>
    </row>
    <row r="5" spans="1:14" x14ac:dyDescent="0.3">
      <c r="A5" s="2">
        <v>45485</v>
      </c>
      <c r="B5" s="1" t="s">
        <v>8</v>
      </c>
      <c r="C5" s="7">
        <v>2</v>
      </c>
      <c r="D5" s="3">
        <v>50</v>
      </c>
      <c r="E5" s="3">
        <f>C5*D5</f>
        <v>100</v>
      </c>
      <c r="G5" s="2">
        <v>45491</v>
      </c>
      <c r="H5" s="1" t="s">
        <v>8</v>
      </c>
      <c r="I5" s="7">
        <v>2</v>
      </c>
      <c r="J5" s="3">
        <v>50</v>
      </c>
      <c r="K5" s="3">
        <f>I5*J5</f>
        <v>100</v>
      </c>
      <c r="M5" s="1" t="s">
        <v>36</v>
      </c>
      <c r="N5" s="3">
        <f>E28</f>
        <v>337.5</v>
      </c>
    </row>
    <row r="6" spans="1:14" x14ac:dyDescent="0.3">
      <c r="A6" s="2">
        <v>45485</v>
      </c>
      <c r="B6" s="1" t="s">
        <v>9</v>
      </c>
      <c r="C6" s="7">
        <v>2</v>
      </c>
      <c r="D6" s="3">
        <v>0</v>
      </c>
      <c r="E6" s="3">
        <f>C6*D6</f>
        <v>0</v>
      </c>
      <c r="G6" s="2">
        <v>45491</v>
      </c>
      <c r="H6" s="1" t="s">
        <v>9</v>
      </c>
      <c r="I6" s="7">
        <v>2</v>
      </c>
      <c r="J6" s="3">
        <v>0</v>
      </c>
      <c r="K6" s="3">
        <f>I6*J6</f>
        <v>0</v>
      </c>
      <c r="M6" s="1" t="s">
        <v>37</v>
      </c>
      <c r="N6" s="3">
        <f>E36</f>
        <v>450</v>
      </c>
    </row>
    <row r="7" spans="1:14" x14ac:dyDescent="0.3">
      <c r="A7" s="5" t="s">
        <v>10</v>
      </c>
      <c r="B7" s="5"/>
      <c r="C7" s="6"/>
      <c r="D7" s="6"/>
      <c r="E7" s="6">
        <f>SUM(E2:E6)</f>
        <v>412.5</v>
      </c>
      <c r="G7" s="5" t="s">
        <v>26</v>
      </c>
      <c r="H7" s="5"/>
      <c r="I7" s="6"/>
      <c r="J7" s="6"/>
      <c r="K7" s="6">
        <f>SUM(K2:K6)</f>
        <v>450</v>
      </c>
      <c r="M7" s="1" t="s">
        <v>38</v>
      </c>
      <c r="N7" s="3">
        <f>K7</f>
        <v>450</v>
      </c>
    </row>
    <row r="8" spans="1:14" x14ac:dyDescent="0.3">
      <c r="M8" s="1" t="s">
        <v>39</v>
      </c>
      <c r="N8" s="3">
        <f>K14</f>
        <v>340</v>
      </c>
    </row>
    <row r="9" spans="1:14" x14ac:dyDescent="0.3">
      <c r="A9" s="4" t="s">
        <v>0</v>
      </c>
      <c r="B9" s="4" t="s">
        <v>1</v>
      </c>
      <c r="C9" s="4" t="s">
        <v>2</v>
      </c>
      <c r="D9" s="4" t="s">
        <v>3</v>
      </c>
      <c r="E9" s="4" t="s">
        <v>6</v>
      </c>
      <c r="G9" s="4" t="s">
        <v>0</v>
      </c>
      <c r="H9" s="4" t="s">
        <v>1</v>
      </c>
      <c r="I9" s="4" t="s">
        <v>2</v>
      </c>
      <c r="J9" s="4" t="s">
        <v>3</v>
      </c>
      <c r="K9" s="4" t="s">
        <v>6</v>
      </c>
      <c r="M9" s="1" t="s">
        <v>40</v>
      </c>
      <c r="N9" s="3">
        <f>K14</f>
        <v>340</v>
      </c>
    </row>
    <row r="10" spans="1:14" x14ac:dyDescent="0.3">
      <c r="A10" s="2">
        <v>45486</v>
      </c>
      <c r="B10" s="1" t="s">
        <v>11</v>
      </c>
      <c r="C10" s="7">
        <v>5</v>
      </c>
      <c r="D10" s="3">
        <v>25</v>
      </c>
      <c r="E10" s="3">
        <f>C10*D10</f>
        <v>125</v>
      </c>
      <c r="G10" s="2">
        <v>45492</v>
      </c>
      <c r="H10" s="1" t="s">
        <v>16</v>
      </c>
      <c r="I10" s="7">
        <v>90</v>
      </c>
      <c r="J10" s="3">
        <v>2</v>
      </c>
      <c r="K10" s="3">
        <f>I10*J10</f>
        <v>180</v>
      </c>
      <c r="M10" s="1" t="s">
        <v>41</v>
      </c>
      <c r="N10" s="3">
        <f>K22</f>
        <v>432.5</v>
      </c>
    </row>
    <row r="11" spans="1:14" x14ac:dyDescent="0.3">
      <c r="A11" s="2">
        <v>45486</v>
      </c>
      <c r="B11" s="1" t="s">
        <v>12</v>
      </c>
      <c r="C11" s="7">
        <v>50</v>
      </c>
      <c r="D11" s="3">
        <v>1.5</v>
      </c>
      <c r="E11" s="3">
        <f>C11*D11</f>
        <v>75</v>
      </c>
      <c r="G11" s="2">
        <v>45492</v>
      </c>
      <c r="H11" s="1" t="s">
        <v>17</v>
      </c>
      <c r="I11" s="7">
        <v>2</v>
      </c>
      <c r="J11" s="3">
        <v>40</v>
      </c>
      <c r="K11" s="3">
        <f>I11*J11</f>
        <v>80</v>
      </c>
      <c r="M11" s="1" t="s">
        <v>42</v>
      </c>
      <c r="N11" s="3">
        <f>K29</f>
        <v>440</v>
      </c>
    </row>
    <row r="12" spans="1:14" x14ac:dyDescent="0.3">
      <c r="A12" s="2">
        <v>45486</v>
      </c>
      <c r="B12" s="1" t="s">
        <v>13</v>
      </c>
      <c r="C12" s="7">
        <v>2</v>
      </c>
      <c r="D12" s="3">
        <v>70</v>
      </c>
      <c r="E12" s="3">
        <f>C12*D12</f>
        <v>140</v>
      </c>
      <c r="G12" s="2">
        <v>45492</v>
      </c>
      <c r="H12" s="1" t="s">
        <v>27</v>
      </c>
      <c r="I12" s="7">
        <v>2</v>
      </c>
      <c r="J12" s="3">
        <v>40</v>
      </c>
      <c r="K12" s="3">
        <f>I12*J12</f>
        <v>80</v>
      </c>
      <c r="M12" s="1" t="s">
        <v>43</v>
      </c>
      <c r="N12" s="3">
        <f>SUM(N2:N11)*8.25%</f>
        <v>328.55625000000003</v>
      </c>
    </row>
    <row r="13" spans="1:14" x14ac:dyDescent="0.3">
      <c r="A13" s="2">
        <v>45486</v>
      </c>
      <c r="B13" s="1" t="s">
        <v>14</v>
      </c>
      <c r="C13" s="7">
        <v>2</v>
      </c>
      <c r="D13" s="3">
        <v>50</v>
      </c>
      <c r="E13" s="3">
        <f>C13*D13</f>
        <v>100</v>
      </c>
      <c r="G13" s="2">
        <v>45492</v>
      </c>
      <c r="H13" s="1" t="s">
        <v>9</v>
      </c>
      <c r="I13" s="7">
        <v>2</v>
      </c>
      <c r="J13" s="3">
        <v>0</v>
      </c>
      <c r="K13" s="3">
        <f>I13*J13</f>
        <v>0</v>
      </c>
      <c r="M13" s="5" t="s">
        <v>6</v>
      </c>
      <c r="N13" s="6">
        <f>SUM(N2:N12)</f>
        <v>4311.0562499999996</v>
      </c>
    </row>
    <row r="14" spans="1:14" x14ac:dyDescent="0.3">
      <c r="A14" s="5" t="s">
        <v>15</v>
      </c>
      <c r="B14" s="5"/>
      <c r="C14" s="6"/>
      <c r="D14" s="6"/>
      <c r="E14" s="6">
        <f>SUM(E10:E13)</f>
        <v>440</v>
      </c>
      <c r="G14" s="5" t="s">
        <v>28</v>
      </c>
      <c r="H14" s="5"/>
      <c r="I14" s="6"/>
      <c r="J14" s="6"/>
      <c r="K14" s="6">
        <f>SUM(K10:K13)</f>
        <v>340</v>
      </c>
    </row>
    <row r="16" spans="1:14" x14ac:dyDescent="0.3">
      <c r="A16" s="4" t="s">
        <v>0</v>
      </c>
      <c r="B16" s="4" t="s">
        <v>1</v>
      </c>
      <c r="C16" s="4" t="s">
        <v>2</v>
      </c>
      <c r="D16" s="4" t="s">
        <v>3</v>
      </c>
      <c r="E16" s="4" t="s">
        <v>6</v>
      </c>
      <c r="G16" s="4" t="s">
        <v>0</v>
      </c>
      <c r="H16" s="4" t="s">
        <v>1</v>
      </c>
      <c r="I16" s="4" t="s">
        <v>2</v>
      </c>
      <c r="J16" s="4" t="s">
        <v>3</v>
      </c>
      <c r="K16" s="4" t="s">
        <v>6</v>
      </c>
    </row>
    <row r="17" spans="1:11" x14ac:dyDescent="0.3">
      <c r="A17" s="2">
        <v>45487</v>
      </c>
      <c r="B17" s="1" t="s">
        <v>16</v>
      </c>
      <c r="C17" s="7">
        <v>90</v>
      </c>
      <c r="D17" s="3">
        <v>2</v>
      </c>
      <c r="E17" s="3">
        <f>C17*D17</f>
        <v>180</v>
      </c>
      <c r="G17" s="2">
        <v>45493</v>
      </c>
      <c r="H17" s="1" t="s">
        <v>20</v>
      </c>
      <c r="I17" s="7">
        <v>55</v>
      </c>
      <c r="J17" s="3">
        <v>2</v>
      </c>
      <c r="K17" s="3">
        <f>I17*J17</f>
        <v>110</v>
      </c>
    </row>
    <row r="18" spans="1:11" x14ac:dyDescent="0.3">
      <c r="A18" s="2">
        <v>45487</v>
      </c>
      <c r="B18" s="1" t="s">
        <v>17</v>
      </c>
      <c r="C18" s="7">
        <v>2</v>
      </c>
      <c r="D18" s="3">
        <v>40</v>
      </c>
      <c r="E18" s="3">
        <f>C18*D18</f>
        <v>80</v>
      </c>
      <c r="G18" s="2">
        <v>45493</v>
      </c>
      <c r="H18" s="1" t="s">
        <v>5</v>
      </c>
      <c r="I18" s="7">
        <v>50</v>
      </c>
      <c r="J18" s="3">
        <v>1.75</v>
      </c>
      <c r="K18" s="3">
        <f>I18*J18</f>
        <v>87.5</v>
      </c>
    </row>
    <row r="19" spans="1:11" x14ac:dyDescent="0.3">
      <c r="A19" s="2">
        <v>45487</v>
      </c>
      <c r="B19" s="1" t="s">
        <v>18</v>
      </c>
      <c r="C19" s="7">
        <v>2</v>
      </c>
      <c r="D19" s="3">
        <v>40</v>
      </c>
      <c r="E19" s="3">
        <f>C19*D19</f>
        <v>80</v>
      </c>
      <c r="G19" s="2">
        <v>45493</v>
      </c>
      <c r="H19" s="1" t="s">
        <v>4</v>
      </c>
      <c r="I19" s="7">
        <v>90</v>
      </c>
      <c r="J19" s="3">
        <v>1.5</v>
      </c>
      <c r="K19" s="3">
        <f>I19*J19</f>
        <v>135</v>
      </c>
    </row>
    <row r="20" spans="1:11" x14ac:dyDescent="0.3">
      <c r="A20" s="2">
        <v>45487</v>
      </c>
      <c r="B20" s="1" t="s">
        <v>9</v>
      </c>
      <c r="C20" s="7">
        <v>2</v>
      </c>
      <c r="D20" s="3">
        <v>0</v>
      </c>
      <c r="E20" s="3">
        <f>C20*D20</f>
        <v>0</v>
      </c>
      <c r="G20" s="2">
        <v>45493</v>
      </c>
      <c r="H20" s="1" t="s">
        <v>8</v>
      </c>
      <c r="I20" s="7">
        <v>2</v>
      </c>
      <c r="J20" s="3">
        <v>50</v>
      </c>
      <c r="K20" s="3">
        <f>I20*J20</f>
        <v>100</v>
      </c>
    </row>
    <row r="21" spans="1:11" x14ac:dyDescent="0.3">
      <c r="A21" s="5" t="s">
        <v>19</v>
      </c>
      <c r="B21" s="5"/>
      <c r="C21" s="6"/>
      <c r="D21" s="6"/>
      <c r="E21" s="6">
        <f>SUM(E17:E20)</f>
        <v>340</v>
      </c>
      <c r="G21" s="2">
        <v>45493</v>
      </c>
      <c r="H21" s="1" t="s">
        <v>9</v>
      </c>
      <c r="I21" s="7">
        <v>2</v>
      </c>
      <c r="J21" s="3">
        <v>0</v>
      </c>
      <c r="K21" s="3">
        <f>I21*J21</f>
        <v>0</v>
      </c>
    </row>
    <row r="22" spans="1:11" x14ac:dyDescent="0.3">
      <c r="G22" s="5" t="s">
        <v>29</v>
      </c>
      <c r="H22" s="5"/>
      <c r="I22" s="6"/>
      <c r="J22" s="6"/>
      <c r="K22" s="6">
        <f>SUM(K17:K21)</f>
        <v>432.5</v>
      </c>
    </row>
    <row r="23" spans="1:11" x14ac:dyDescent="0.3">
      <c r="A23" s="4" t="s">
        <v>0</v>
      </c>
      <c r="B23" s="4" t="s">
        <v>1</v>
      </c>
      <c r="C23" s="4" t="s">
        <v>2</v>
      </c>
      <c r="D23" s="4" t="s">
        <v>3</v>
      </c>
      <c r="E23" s="4" t="s">
        <v>6</v>
      </c>
    </row>
    <row r="24" spans="1:11" x14ac:dyDescent="0.3">
      <c r="A24" s="2">
        <v>45488</v>
      </c>
      <c r="B24" s="1" t="s">
        <v>20</v>
      </c>
      <c r="C24" s="7">
        <v>2</v>
      </c>
      <c r="D24" s="3">
        <v>55</v>
      </c>
      <c r="E24" s="3">
        <f>C24*D24</f>
        <v>110</v>
      </c>
      <c r="G24" s="4" t="s">
        <v>0</v>
      </c>
      <c r="H24" s="4" t="s">
        <v>1</v>
      </c>
      <c r="I24" s="4" t="s">
        <v>2</v>
      </c>
      <c r="J24" s="4" t="s">
        <v>3</v>
      </c>
      <c r="K24" s="4" t="s">
        <v>6</v>
      </c>
    </row>
    <row r="25" spans="1:11" x14ac:dyDescent="0.3">
      <c r="A25" s="2">
        <v>45488</v>
      </c>
      <c r="B25" s="1" t="s">
        <v>5</v>
      </c>
      <c r="C25" s="7">
        <v>50</v>
      </c>
      <c r="D25" s="3">
        <v>1.75</v>
      </c>
      <c r="E25" s="3">
        <f>C25*D25</f>
        <v>87.5</v>
      </c>
      <c r="G25" s="2">
        <v>45494</v>
      </c>
      <c r="H25" s="1" t="s">
        <v>11</v>
      </c>
      <c r="I25" s="7">
        <v>5</v>
      </c>
      <c r="J25" s="3">
        <v>25</v>
      </c>
      <c r="K25" s="3">
        <f>I25*J25</f>
        <v>125</v>
      </c>
    </row>
    <row r="26" spans="1:11" x14ac:dyDescent="0.3">
      <c r="A26" s="2">
        <v>45488</v>
      </c>
      <c r="B26" s="1" t="s">
        <v>21</v>
      </c>
      <c r="C26" s="7">
        <v>2</v>
      </c>
      <c r="D26" s="3">
        <v>70</v>
      </c>
      <c r="E26" s="3">
        <f>C26*D26</f>
        <v>140</v>
      </c>
      <c r="G26" s="2">
        <v>45486</v>
      </c>
      <c r="H26" s="1" t="s">
        <v>12</v>
      </c>
      <c r="I26" s="7">
        <v>50</v>
      </c>
      <c r="J26" s="3">
        <v>1.5</v>
      </c>
      <c r="K26" s="3">
        <f>I26*J26</f>
        <v>75</v>
      </c>
    </row>
    <row r="27" spans="1:11" x14ac:dyDescent="0.3">
      <c r="A27" s="2">
        <v>45488</v>
      </c>
      <c r="B27" s="1" t="s">
        <v>22</v>
      </c>
      <c r="C27" s="7">
        <v>2</v>
      </c>
      <c r="D27" s="3">
        <v>0</v>
      </c>
      <c r="E27" s="3">
        <f>C27*D27</f>
        <v>0</v>
      </c>
      <c r="G27" s="2">
        <v>45486</v>
      </c>
      <c r="H27" s="1" t="s">
        <v>13</v>
      </c>
      <c r="I27" s="7">
        <v>2</v>
      </c>
      <c r="J27" s="3">
        <v>70</v>
      </c>
      <c r="K27" s="3">
        <f>I27*J27</f>
        <v>140</v>
      </c>
    </row>
    <row r="28" spans="1:11" x14ac:dyDescent="0.3">
      <c r="A28" s="5" t="s">
        <v>23</v>
      </c>
      <c r="B28" s="5"/>
      <c r="C28" s="6"/>
      <c r="D28" s="6"/>
      <c r="E28" s="6">
        <f>SUM(E24:E27)</f>
        <v>337.5</v>
      </c>
      <c r="G28" s="2">
        <v>45486</v>
      </c>
      <c r="H28" s="1" t="s">
        <v>30</v>
      </c>
      <c r="I28" s="7">
        <v>2</v>
      </c>
      <c r="J28" s="3">
        <v>50</v>
      </c>
      <c r="K28" s="3">
        <f>I28*J28</f>
        <v>100</v>
      </c>
    </row>
    <row r="29" spans="1:11" x14ac:dyDescent="0.3">
      <c r="G29" s="5" t="s">
        <v>31</v>
      </c>
      <c r="H29" s="5"/>
      <c r="I29" s="6"/>
      <c r="J29" s="6"/>
      <c r="K29" s="6">
        <f>SUM(K25:K28)</f>
        <v>440</v>
      </c>
    </row>
    <row r="30" spans="1:11" x14ac:dyDescent="0.3">
      <c r="A30" s="4" t="s">
        <v>0</v>
      </c>
      <c r="B30" s="4" t="s">
        <v>1</v>
      </c>
      <c r="C30" s="4" t="s">
        <v>2</v>
      </c>
      <c r="D30" s="4" t="s">
        <v>3</v>
      </c>
      <c r="E30" s="4" t="s">
        <v>6</v>
      </c>
    </row>
    <row r="31" spans="1:11" x14ac:dyDescent="0.3">
      <c r="A31" s="2">
        <v>45489</v>
      </c>
      <c r="B31" s="1" t="s">
        <v>16</v>
      </c>
      <c r="C31" s="7">
        <v>90</v>
      </c>
      <c r="D31" s="3">
        <v>2</v>
      </c>
      <c r="E31" s="3">
        <f>C31*D31</f>
        <v>180</v>
      </c>
    </row>
    <row r="32" spans="1:11" x14ac:dyDescent="0.3">
      <c r="A32" s="2">
        <v>45489</v>
      </c>
      <c r="B32" s="1" t="s">
        <v>17</v>
      </c>
      <c r="C32" s="7">
        <v>2</v>
      </c>
      <c r="D32" s="3">
        <v>40</v>
      </c>
      <c r="E32" s="3">
        <f>C32*D32</f>
        <v>80</v>
      </c>
    </row>
    <row r="33" spans="1:5" x14ac:dyDescent="0.3">
      <c r="A33" s="2">
        <v>45489</v>
      </c>
      <c r="B33" s="1" t="s">
        <v>7</v>
      </c>
      <c r="C33" s="7">
        <v>2</v>
      </c>
      <c r="D33" s="3">
        <v>45</v>
      </c>
      <c r="E33" s="3">
        <f>C33*D33</f>
        <v>90</v>
      </c>
    </row>
    <row r="34" spans="1:5" x14ac:dyDescent="0.3">
      <c r="A34" s="2">
        <v>45489</v>
      </c>
      <c r="B34" s="1" t="s">
        <v>8</v>
      </c>
      <c r="C34" s="7">
        <v>2</v>
      </c>
      <c r="D34" s="3">
        <v>50</v>
      </c>
      <c r="E34" s="3">
        <f>C34*D34</f>
        <v>100</v>
      </c>
    </row>
    <row r="35" spans="1:5" x14ac:dyDescent="0.3">
      <c r="A35" s="2">
        <v>45489</v>
      </c>
      <c r="B35" s="1" t="s">
        <v>9</v>
      </c>
      <c r="C35" s="7">
        <v>2</v>
      </c>
      <c r="D35" s="3">
        <v>0</v>
      </c>
      <c r="E35" s="3">
        <f>C35*D35</f>
        <v>0</v>
      </c>
    </row>
    <row r="36" spans="1:5" x14ac:dyDescent="0.3">
      <c r="A36" s="5" t="s">
        <v>24</v>
      </c>
      <c r="B36" s="5"/>
      <c r="C36" s="6"/>
      <c r="D36" s="6"/>
      <c r="E36" s="6">
        <f>SUM(E31:E35)</f>
        <v>450</v>
      </c>
    </row>
    <row r="38" spans="1:5" x14ac:dyDescent="0.3">
      <c r="A38" s="4" t="s">
        <v>0</v>
      </c>
      <c r="B38" s="4" t="s">
        <v>1</v>
      </c>
      <c r="C38" s="4" t="s">
        <v>2</v>
      </c>
      <c r="D38" s="4" t="s">
        <v>3</v>
      </c>
      <c r="E38" s="4" t="s">
        <v>6</v>
      </c>
    </row>
    <row r="39" spans="1:5" x14ac:dyDescent="0.3">
      <c r="A39" s="2">
        <v>45490</v>
      </c>
      <c r="B39" s="1" t="s">
        <v>11</v>
      </c>
      <c r="C39" s="7">
        <v>5</v>
      </c>
      <c r="D39" s="3">
        <v>25</v>
      </c>
      <c r="E39" s="3">
        <f>C39*D39</f>
        <v>125</v>
      </c>
    </row>
    <row r="40" spans="1:5" x14ac:dyDescent="0.3">
      <c r="A40" s="2">
        <v>45490</v>
      </c>
      <c r="B40" s="1" t="s">
        <v>21</v>
      </c>
      <c r="C40" s="7">
        <v>2</v>
      </c>
      <c r="D40" s="3">
        <v>70</v>
      </c>
      <c r="E40" s="3">
        <f>C40*D40</f>
        <v>140</v>
      </c>
    </row>
    <row r="41" spans="1:5" x14ac:dyDescent="0.3">
      <c r="A41" s="2">
        <v>45490</v>
      </c>
      <c r="B41" s="1" t="s">
        <v>13</v>
      </c>
      <c r="C41" s="7">
        <v>2</v>
      </c>
      <c r="D41" s="3">
        <v>70</v>
      </c>
      <c r="E41" s="3">
        <f>C41*D41</f>
        <v>140</v>
      </c>
    </row>
    <row r="42" spans="1:5" x14ac:dyDescent="0.3">
      <c r="A42" s="2">
        <v>45490</v>
      </c>
      <c r="B42" s="1" t="s">
        <v>22</v>
      </c>
      <c r="C42" s="7">
        <v>2</v>
      </c>
      <c r="D42" s="3">
        <v>0</v>
      </c>
      <c r="E42" s="3">
        <f>C42*D42</f>
        <v>0</v>
      </c>
    </row>
    <row r="43" spans="1:5" x14ac:dyDescent="0.3">
      <c r="A43" s="5" t="s">
        <v>25</v>
      </c>
      <c r="B43" s="5"/>
      <c r="C43" s="6"/>
      <c r="D43" s="6"/>
      <c r="E43" s="6">
        <f>SUM(E39:E42)</f>
        <v>405</v>
      </c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Sabina Rowther</dc:creator>
  <cp:lastModifiedBy>Sabina Rowther</cp:lastModifiedBy>
  <dcterms:created xsi:type="dcterms:W3CDTF">2024-06-13T20:55:04Z</dcterms:created>
  <dcterms:modified xsi:type="dcterms:W3CDTF">2024-07-07T02:59:56Z</dcterms:modified>
</cp:coreProperties>
</file>