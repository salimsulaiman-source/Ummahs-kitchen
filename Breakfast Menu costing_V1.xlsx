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UST_BACKUP_2021\MUST_BACKUP_2021\1-Salim\Ummahs Kitchen_Cafe\"/>
    </mc:Choice>
  </mc:AlternateContent>
  <xr:revisionPtr revIDLastSave="0" documentId="13_ncr:1_{C585A0BA-069A-4E0D-9C67-517F408F8102}" xr6:coauthVersionLast="47" xr6:coauthVersionMax="47" xr10:uidLastSave="{00000000-0000-0000-0000-000000000000}"/>
  <bookViews>
    <workbookView xWindow="-108" yWindow="-108" windowWidth="23256" windowHeight="12456" xr2:uid="{5A5339FF-F92D-430B-A7BE-A02F1C8B243C}"/>
  </bookViews>
  <sheets>
    <sheet name="Sheet1" sheetId="1" r:id="rId1"/>
    <sheet name="Orig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3" i="2" l="1"/>
  <c r="E33" i="2"/>
  <c r="K32" i="2"/>
  <c r="E32" i="2"/>
  <c r="K31" i="2"/>
  <c r="E31" i="2"/>
  <c r="K30" i="2"/>
  <c r="E30" i="2"/>
  <c r="K29" i="2"/>
  <c r="K34" i="2" s="1"/>
  <c r="C43" i="2" s="1"/>
  <c r="E29" i="2"/>
  <c r="E34" i="2" s="1"/>
  <c r="B43" i="2" s="1"/>
  <c r="D43" i="2" s="1"/>
  <c r="K24" i="2"/>
  <c r="E24" i="2"/>
  <c r="K23" i="2"/>
  <c r="E23" i="2"/>
  <c r="K22" i="2"/>
  <c r="E22" i="2"/>
  <c r="K21" i="2"/>
  <c r="K25" i="2" s="1"/>
  <c r="C42" i="2" s="1"/>
  <c r="E21" i="2"/>
  <c r="E25" i="2" s="1"/>
  <c r="B42" i="2" s="1"/>
  <c r="D42" i="2" s="1"/>
  <c r="K16" i="2"/>
  <c r="E16" i="2"/>
  <c r="K15" i="2"/>
  <c r="E15" i="2"/>
  <c r="K14" i="2"/>
  <c r="E14" i="2"/>
  <c r="K13" i="2"/>
  <c r="E13" i="2"/>
  <c r="K12" i="2"/>
  <c r="E12" i="2"/>
  <c r="K11" i="2"/>
  <c r="K17" i="2" s="1"/>
  <c r="C41" i="2" s="1"/>
  <c r="E11" i="2"/>
  <c r="E17" i="2" s="1"/>
  <c r="B41" i="2" s="1"/>
  <c r="D41" i="2" s="1"/>
  <c r="K7" i="2"/>
  <c r="K6" i="2"/>
  <c r="E6" i="2"/>
  <c r="K5" i="2"/>
  <c r="E5" i="2"/>
  <c r="K4" i="2"/>
  <c r="E4" i="2"/>
  <c r="K3" i="2"/>
  <c r="K8" i="2" s="1"/>
  <c r="C40" i="2" s="1"/>
  <c r="E3" i="2"/>
  <c r="E7" i="2" s="1"/>
  <c r="B40" i="2" s="1"/>
  <c r="K33" i="1"/>
  <c r="K32" i="1"/>
  <c r="K31" i="1"/>
  <c r="K30" i="1"/>
  <c r="K29" i="1"/>
  <c r="E33" i="1"/>
  <c r="E32" i="1"/>
  <c r="E31" i="1"/>
  <c r="E30" i="1"/>
  <c r="E29" i="1"/>
  <c r="K24" i="1"/>
  <c r="K23" i="1"/>
  <c r="K22" i="1"/>
  <c r="K21" i="1"/>
  <c r="K25" i="1" s="1"/>
  <c r="C42" i="1" s="1"/>
  <c r="E24" i="1"/>
  <c r="E23" i="1"/>
  <c r="E22" i="1"/>
  <c r="C44" i="2" l="1"/>
  <c r="C45" i="2" s="1"/>
  <c r="B44" i="2"/>
  <c r="D44" i="2" s="1"/>
  <c r="D40" i="2"/>
  <c r="E34" i="1"/>
  <c r="B43" i="1" s="1"/>
  <c r="K34" i="1"/>
  <c r="C43" i="1" s="1"/>
  <c r="K16" i="1"/>
  <c r="K15" i="1"/>
  <c r="K14" i="1"/>
  <c r="K13" i="1"/>
  <c r="K12" i="1"/>
  <c r="K11" i="1"/>
  <c r="E16" i="1"/>
  <c r="E15" i="1"/>
  <c r="E14" i="1"/>
  <c r="E13" i="1"/>
  <c r="K4" i="1"/>
  <c r="K3" i="1"/>
  <c r="K7" i="1"/>
  <c r="K6" i="1"/>
  <c r="K5" i="1"/>
  <c r="E21" i="1"/>
  <c r="E25" i="1" s="1"/>
  <c r="B42" i="1" s="1"/>
  <c r="D42" i="1" s="1"/>
  <c r="E12" i="1"/>
  <c r="E11" i="1"/>
  <c r="E5" i="1"/>
  <c r="E4" i="1"/>
  <c r="E6" i="1"/>
  <c r="E3" i="1"/>
  <c r="E7" i="1" l="1"/>
  <c r="B40" i="1" s="1"/>
  <c r="B45" i="2"/>
  <c r="D45" i="2"/>
  <c r="D43" i="1"/>
  <c r="K17" i="1"/>
  <c r="C41" i="1" s="1"/>
  <c r="E17" i="1"/>
  <c r="B41" i="1" s="1"/>
  <c r="K8" i="1"/>
  <c r="C40" i="1" s="1"/>
  <c r="B44" i="1" l="1"/>
  <c r="B45" i="1" s="1"/>
  <c r="C44" i="1"/>
  <c r="C45" i="1" s="1"/>
  <c r="D41" i="1"/>
  <c r="D40" i="1"/>
  <c r="D44" i="1"/>
  <c r="D45" i="1" l="1"/>
</calcChain>
</file>

<file path=xl/sharedStrings.xml><?xml version="1.0" encoding="utf-8"?>
<sst xmlns="http://schemas.openxmlformats.org/spreadsheetml/2006/main" count="212" uniqueCount="37">
  <si>
    <t>Date</t>
  </si>
  <si>
    <t>Item</t>
  </si>
  <si>
    <t>Qty</t>
  </si>
  <si>
    <t>Rate</t>
  </si>
  <si>
    <t>Idiy</t>
  </si>
  <si>
    <t>Vada</t>
  </si>
  <si>
    <t>Total</t>
  </si>
  <si>
    <t>Pongal</t>
  </si>
  <si>
    <t>Sambar</t>
  </si>
  <si>
    <t>Chutney</t>
  </si>
  <si>
    <t>Day 1 Total</t>
  </si>
  <si>
    <t>Idiyappam</t>
  </si>
  <si>
    <t>Poratta</t>
  </si>
  <si>
    <t>Day 2 Total</t>
  </si>
  <si>
    <t>Poori</t>
  </si>
  <si>
    <t>Potato Masala</t>
  </si>
  <si>
    <t>Day 3 Total</t>
  </si>
  <si>
    <t>Chicken Semiya</t>
  </si>
  <si>
    <t>Raita</t>
  </si>
  <si>
    <t>Day 4 Total</t>
  </si>
  <si>
    <t>Tomato Sevai</t>
  </si>
  <si>
    <t>Day 1</t>
  </si>
  <si>
    <t>Day 2</t>
  </si>
  <si>
    <t>Day 3</t>
  </si>
  <si>
    <t>Day 4</t>
  </si>
  <si>
    <t>Tax 8.25%</t>
  </si>
  <si>
    <t>Coconut Milk</t>
  </si>
  <si>
    <t>Chicken Salna</t>
  </si>
  <si>
    <t>Chicken Briyani</t>
  </si>
  <si>
    <t>Payasam</t>
  </si>
  <si>
    <t>Break fast - 15 PAX (9:00 A.M)</t>
  </si>
  <si>
    <t>Lunch - 25 PAX (1:00 P.M)</t>
  </si>
  <si>
    <t>Break fast - 25 PAX (9:00 A.M)</t>
  </si>
  <si>
    <t>For 25 Pax</t>
  </si>
  <si>
    <t>For 15 Pax</t>
  </si>
  <si>
    <t>* Delivery charges ~ $10-$20 per day</t>
  </si>
  <si>
    <t>Final total for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</si>
</sst>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4" fontId="0" fillId="0" borderId="1" xfId="0" applyNumberFormat="1" applyBorder="1"/>
    <xf numFmtId="164" fontId="0" fillId="0" borderId="1" xfId="0" applyNumberFormat="1" applyBorder="1"/>
    <xf numFmtId="0" fontId="1" fillId="2" borderId="1" xfId="0" applyFont="1" applyFill="1" applyBorder="1"/>
    <xf numFmtId="0" fontId="2" fillId="2" borderId="1" xfId="0" applyFont="1" applyFill="1" applyBorder="1"/>
    <xf numFmtId="164" fontId="2" fillId="2" borderId="1" xfId="0" applyNumberFormat="1" applyFont="1" applyFill="1" applyBorder="1"/>
    <xf numFmtId="4" fontId="0" fillId="0" borderId="1" xfId="0" applyNumberFormat="1" applyBorder="1"/>
    <xf numFmtId="0" fontId="4" fillId="0" borderId="1" xfId="0" applyFont="1" applyFill="1" applyBorder="1"/>
    <xf numFmtId="0" fontId="4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2D6F2-6C31-4B73-B266-CCD82A72D366}">
  <dimension ref="A1:K46"/>
  <sheetViews>
    <sheetView tabSelected="1" workbookViewId="0">
      <selection sqref="A1:E7"/>
    </sheetView>
  </sheetViews>
  <sheetFormatPr defaultRowHeight="14.4" x14ac:dyDescent="0.3"/>
  <cols>
    <col min="1" max="1" width="10.21875" bestFit="1" customWidth="1"/>
    <col min="2" max="2" width="13.6640625" bestFit="1" customWidth="1"/>
    <col min="3" max="3" width="9.5546875" bestFit="1" customWidth="1"/>
    <col min="4" max="4" width="14.6640625" bestFit="1" customWidth="1"/>
    <col min="5" max="5" width="7.5546875" bestFit="1" customWidth="1"/>
    <col min="6" max="6" width="2.6640625" customWidth="1"/>
    <col min="7" max="7" width="11.21875" bestFit="1" customWidth="1"/>
    <col min="8" max="8" width="13.6640625" bestFit="1" customWidth="1"/>
    <col min="13" max="13" width="32" bestFit="1" customWidth="1"/>
    <col min="14" max="15" width="9.5546875" bestFit="1" customWidth="1"/>
    <col min="16" max="16" width="14.6640625" bestFit="1" customWidth="1"/>
  </cols>
  <sheetData>
    <row r="1" spans="1:11" x14ac:dyDescent="0.3">
      <c r="A1" s="9" t="s">
        <v>30</v>
      </c>
      <c r="B1" s="9"/>
      <c r="C1" s="9"/>
      <c r="D1" s="9"/>
      <c r="E1" s="9"/>
      <c r="G1" s="9" t="s">
        <v>31</v>
      </c>
      <c r="H1" s="9"/>
      <c r="I1" s="9"/>
      <c r="J1" s="9"/>
      <c r="K1" s="9"/>
    </row>
    <row r="2" spans="1:1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6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6</v>
      </c>
    </row>
    <row r="3" spans="1:11" x14ac:dyDescent="0.3">
      <c r="A3" s="2">
        <v>45491</v>
      </c>
      <c r="B3" s="1" t="s">
        <v>14</v>
      </c>
      <c r="C3" s="7">
        <v>15</v>
      </c>
      <c r="D3" s="3">
        <v>2</v>
      </c>
      <c r="E3" s="3">
        <f>C3*D3</f>
        <v>30</v>
      </c>
      <c r="G3" s="2">
        <v>45491</v>
      </c>
      <c r="H3" s="1" t="s">
        <v>11</v>
      </c>
      <c r="I3" s="7">
        <v>3</v>
      </c>
      <c r="J3" s="3">
        <v>25</v>
      </c>
      <c r="K3" s="3">
        <f>I3*J3</f>
        <v>75</v>
      </c>
    </row>
    <row r="4" spans="1:11" x14ac:dyDescent="0.3">
      <c r="A4" s="2">
        <v>45491</v>
      </c>
      <c r="B4" s="1" t="s">
        <v>15</v>
      </c>
      <c r="C4" s="7">
        <v>1</v>
      </c>
      <c r="D4" s="3">
        <v>40</v>
      </c>
      <c r="E4" s="3">
        <f>C4*D4</f>
        <v>40</v>
      </c>
      <c r="G4" s="2">
        <v>45491</v>
      </c>
      <c r="H4" s="1" t="s">
        <v>27</v>
      </c>
      <c r="I4" s="7">
        <v>2</v>
      </c>
      <c r="J4" s="3">
        <v>40</v>
      </c>
      <c r="K4" s="3">
        <f>I4*J4</f>
        <v>80</v>
      </c>
    </row>
    <row r="5" spans="1:11" x14ac:dyDescent="0.3">
      <c r="A5" s="2">
        <v>45491</v>
      </c>
      <c r="B5" s="1" t="s">
        <v>17</v>
      </c>
      <c r="C5" s="7">
        <v>1</v>
      </c>
      <c r="D5" s="3">
        <v>40</v>
      </c>
      <c r="E5" s="3">
        <f>C5*D5</f>
        <v>40</v>
      </c>
      <c r="G5" s="2">
        <v>45491</v>
      </c>
      <c r="H5" s="1" t="s">
        <v>28</v>
      </c>
      <c r="I5" s="7">
        <v>1.5</v>
      </c>
      <c r="J5" s="3">
        <v>75</v>
      </c>
      <c r="K5" s="3">
        <f>I5*J5</f>
        <v>112.5</v>
      </c>
    </row>
    <row r="6" spans="1:11" x14ac:dyDescent="0.3">
      <c r="A6" s="2">
        <v>45491</v>
      </c>
      <c r="B6" s="1" t="s">
        <v>18</v>
      </c>
      <c r="C6" s="7">
        <v>1</v>
      </c>
      <c r="D6" s="3">
        <v>0</v>
      </c>
      <c r="E6" s="3">
        <f>C6*D6</f>
        <v>0</v>
      </c>
      <c r="G6" s="2">
        <v>45491</v>
      </c>
      <c r="H6" s="1" t="s">
        <v>18</v>
      </c>
      <c r="I6" s="7">
        <v>2</v>
      </c>
      <c r="J6" s="3">
        <v>0</v>
      </c>
      <c r="K6" s="3">
        <f>I6*J6</f>
        <v>0</v>
      </c>
    </row>
    <row r="7" spans="1:11" x14ac:dyDescent="0.3">
      <c r="A7" s="5" t="s">
        <v>10</v>
      </c>
      <c r="B7" s="5"/>
      <c r="C7" s="6"/>
      <c r="D7" s="6"/>
      <c r="E7" s="6">
        <f>SUM(E3:E6)</f>
        <v>110</v>
      </c>
      <c r="G7" s="2">
        <v>45491</v>
      </c>
      <c r="H7" s="1" t="s">
        <v>29</v>
      </c>
      <c r="I7" s="7">
        <v>1</v>
      </c>
      <c r="J7" s="3">
        <v>75</v>
      </c>
      <c r="K7" s="3">
        <f>I7*J7</f>
        <v>75</v>
      </c>
    </row>
    <row r="8" spans="1:11" x14ac:dyDescent="0.3">
      <c r="G8" s="5" t="s">
        <v>13</v>
      </c>
      <c r="H8" s="5"/>
      <c r="I8" s="6"/>
      <c r="J8" s="6"/>
      <c r="K8" s="6">
        <f>SUM(K3:K7)</f>
        <v>342.5</v>
      </c>
    </row>
    <row r="9" spans="1:11" x14ac:dyDescent="0.3">
      <c r="A9" s="9" t="s">
        <v>30</v>
      </c>
      <c r="B9" s="9"/>
      <c r="C9" s="9"/>
      <c r="D9" s="9"/>
      <c r="E9" s="9"/>
      <c r="G9" s="9" t="s">
        <v>32</v>
      </c>
      <c r="H9" s="9"/>
      <c r="I9" s="9"/>
      <c r="J9" s="9"/>
      <c r="K9" s="9"/>
    </row>
    <row r="10" spans="1:11" x14ac:dyDescent="0.3">
      <c r="A10" s="4" t="s">
        <v>0</v>
      </c>
      <c r="B10" s="4" t="s">
        <v>1</v>
      </c>
      <c r="C10" s="4" t="s">
        <v>2</v>
      </c>
      <c r="D10" s="4" t="s">
        <v>3</v>
      </c>
      <c r="E10" s="4" t="s">
        <v>6</v>
      </c>
      <c r="G10" s="4" t="s">
        <v>0</v>
      </c>
      <c r="H10" s="4" t="s">
        <v>1</v>
      </c>
      <c r="I10" s="4" t="s">
        <v>2</v>
      </c>
      <c r="J10" s="4" t="s">
        <v>3</v>
      </c>
      <c r="K10" s="4" t="s">
        <v>6</v>
      </c>
    </row>
    <row r="11" spans="1:11" x14ac:dyDescent="0.3">
      <c r="A11" s="2">
        <v>45492</v>
      </c>
      <c r="B11" s="1" t="s">
        <v>14</v>
      </c>
      <c r="C11" s="7">
        <v>15</v>
      </c>
      <c r="D11" s="3">
        <v>2</v>
      </c>
      <c r="E11" s="3">
        <f t="shared" ref="E11:E16" si="0">C11*D11</f>
        <v>30</v>
      </c>
      <c r="G11" s="2">
        <v>45492</v>
      </c>
      <c r="H11" s="1" t="s">
        <v>14</v>
      </c>
      <c r="I11" s="7">
        <v>25</v>
      </c>
      <c r="J11" s="3">
        <v>2</v>
      </c>
      <c r="K11" s="3">
        <f t="shared" ref="K11:K16" si="1">I11*J11</f>
        <v>50</v>
      </c>
    </row>
    <row r="12" spans="1:11" x14ac:dyDescent="0.3">
      <c r="A12" s="2">
        <v>45492</v>
      </c>
      <c r="B12" s="1" t="s">
        <v>15</v>
      </c>
      <c r="C12" s="7">
        <v>1</v>
      </c>
      <c r="D12" s="3">
        <v>40</v>
      </c>
      <c r="E12" s="3">
        <f t="shared" si="0"/>
        <v>40</v>
      </c>
      <c r="G12" s="2">
        <v>45492</v>
      </c>
      <c r="H12" s="1" t="s">
        <v>15</v>
      </c>
      <c r="I12" s="7">
        <v>2</v>
      </c>
      <c r="J12" s="3">
        <v>40</v>
      </c>
      <c r="K12" s="3">
        <f t="shared" si="1"/>
        <v>80</v>
      </c>
    </row>
    <row r="13" spans="1:11" x14ac:dyDescent="0.3">
      <c r="A13" s="2">
        <v>45492</v>
      </c>
      <c r="B13" s="1" t="s">
        <v>4</v>
      </c>
      <c r="C13" s="7">
        <v>45</v>
      </c>
      <c r="D13" s="3">
        <v>1.5</v>
      </c>
      <c r="E13" s="3">
        <f t="shared" si="0"/>
        <v>67.5</v>
      </c>
      <c r="G13" s="2">
        <v>45492</v>
      </c>
      <c r="H13" s="1" t="s">
        <v>4</v>
      </c>
      <c r="I13" s="7">
        <v>75</v>
      </c>
      <c r="J13" s="3">
        <v>1.5</v>
      </c>
      <c r="K13" s="3">
        <f t="shared" si="1"/>
        <v>112.5</v>
      </c>
    </row>
    <row r="14" spans="1:11" x14ac:dyDescent="0.3">
      <c r="A14" s="2">
        <v>45492</v>
      </c>
      <c r="B14" s="1" t="s">
        <v>5</v>
      </c>
      <c r="C14" s="7">
        <v>20</v>
      </c>
      <c r="D14" s="3">
        <v>1.75</v>
      </c>
      <c r="E14" s="3">
        <f t="shared" si="0"/>
        <v>35</v>
      </c>
      <c r="G14" s="2">
        <v>45492</v>
      </c>
      <c r="H14" s="1" t="s">
        <v>5</v>
      </c>
      <c r="I14" s="7">
        <v>35</v>
      </c>
      <c r="J14" s="3">
        <v>1.75</v>
      </c>
      <c r="K14" s="3">
        <f t="shared" si="1"/>
        <v>61.25</v>
      </c>
    </row>
    <row r="15" spans="1:11" x14ac:dyDescent="0.3">
      <c r="A15" s="2">
        <v>45492</v>
      </c>
      <c r="B15" s="1" t="s">
        <v>8</v>
      </c>
      <c r="C15" s="7">
        <v>2</v>
      </c>
      <c r="D15" s="3">
        <v>50</v>
      </c>
      <c r="E15" s="3">
        <f t="shared" si="0"/>
        <v>100</v>
      </c>
      <c r="G15" s="2">
        <v>45492</v>
      </c>
      <c r="H15" s="1" t="s">
        <v>8</v>
      </c>
      <c r="I15" s="7">
        <v>3</v>
      </c>
      <c r="J15" s="3">
        <v>50</v>
      </c>
      <c r="K15" s="3">
        <f t="shared" si="1"/>
        <v>150</v>
      </c>
    </row>
    <row r="16" spans="1:11" x14ac:dyDescent="0.3">
      <c r="A16" s="2">
        <v>45492</v>
      </c>
      <c r="B16" s="1" t="s">
        <v>9</v>
      </c>
      <c r="C16" s="7">
        <v>1</v>
      </c>
      <c r="D16" s="3">
        <v>0</v>
      </c>
      <c r="E16" s="3">
        <f t="shared" si="0"/>
        <v>0</v>
      </c>
      <c r="G16" s="2">
        <v>45492</v>
      </c>
      <c r="H16" s="1" t="s">
        <v>9</v>
      </c>
      <c r="I16" s="7">
        <v>2</v>
      </c>
      <c r="J16" s="3">
        <v>0</v>
      </c>
      <c r="K16" s="3">
        <f t="shared" si="1"/>
        <v>0</v>
      </c>
    </row>
    <row r="17" spans="1:11" x14ac:dyDescent="0.3">
      <c r="A17" s="5" t="s">
        <v>13</v>
      </c>
      <c r="B17" s="5"/>
      <c r="C17" s="6"/>
      <c r="D17" s="6"/>
      <c r="E17" s="6">
        <f>SUM(E11:E14)</f>
        <v>172.5</v>
      </c>
      <c r="G17" s="5" t="s">
        <v>13</v>
      </c>
      <c r="H17" s="5"/>
      <c r="I17" s="6"/>
      <c r="J17" s="6"/>
      <c r="K17" s="6">
        <f>SUM(K11:K14)</f>
        <v>303.75</v>
      </c>
    </row>
    <row r="19" spans="1:11" x14ac:dyDescent="0.3">
      <c r="A19" s="9" t="s">
        <v>30</v>
      </c>
      <c r="B19" s="9"/>
      <c r="C19" s="9"/>
      <c r="D19" s="9"/>
      <c r="E19" s="9"/>
      <c r="G19" s="9" t="s">
        <v>32</v>
      </c>
      <c r="H19" s="9"/>
      <c r="I19" s="9"/>
      <c r="J19" s="9"/>
      <c r="K19" s="9"/>
    </row>
    <row r="20" spans="1:11" x14ac:dyDescent="0.3">
      <c r="A20" s="4" t="s">
        <v>0</v>
      </c>
      <c r="B20" s="4" t="s">
        <v>1</v>
      </c>
      <c r="C20" s="4" t="s">
        <v>2</v>
      </c>
      <c r="D20" s="4" t="s">
        <v>3</v>
      </c>
      <c r="E20" s="4" t="s">
        <v>6</v>
      </c>
      <c r="G20" s="4" t="s">
        <v>0</v>
      </c>
      <c r="H20" s="4" t="s">
        <v>1</v>
      </c>
      <c r="I20" s="4" t="s">
        <v>2</v>
      </c>
      <c r="J20" s="4" t="s">
        <v>3</v>
      </c>
      <c r="K20" s="4" t="s">
        <v>6</v>
      </c>
    </row>
    <row r="21" spans="1:11" x14ac:dyDescent="0.3">
      <c r="A21" s="2">
        <v>45493</v>
      </c>
      <c r="B21" s="1" t="s">
        <v>17</v>
      </c>
      <c r="C21" s="7">
        <v>2</v>
      </c>
      <c r="D21" s="3">
        <v>55</v>
      </c>
      <c r="E21" s="3">
        <f>C21*D21</f>
        <v>110</v>
      </c>
      <c r="G21" s="2">
        <v>45493</v>
      </c>
      <c r="H21" s="1" t="s">
        <v>17</v>
      </c>
      <c r="I21" s="7">
        <v>3</v>
      </c>
      <c r="J21" s="3">
        <v>55</v>
      </c>
      <c r="K21" s="3">
        <f>I21*J21</f>
        <v>165</v>
      </c>
    </row>
    <row r="22" spans="1:11" x14ac:dyDescent="0.3">
      <c r="A22" s="2">
        <v>45493</v>
      </c>
      <c r="B22" s="1" t="s">
        <v>20</v>
      </c>
      <c r="C22" s="7">
        <v>1</v>
      </c>
      <c r="D22" s="3">
        <v>40</v>
      </c>
      <c r="E22" s="3">
        <f>C22*D22</f>
        <v>40</v>
      </c>
      <c r="G22" s="2">
        <v>45493</v>
      </c>
      <c r="H22" s="1" t="s">
        <v>20</v>
      </c>
      <c r="I22" s="7">
        <v>2</v>
      </c>
      <c r="J22" s="3">
        <v>40</v>
      </c>
      <c r="K22" s="3">
        <f>I22*J22</f>
        <v>80</v>
      </c>
    </row>
    <row r="23" spans="1:11" x14ac:dyDescent="0.3">
      <c r="A23" s="2">
        <v>45493</v>
      </c>
      <c r="B23" s="1" t="s">
        <v>18</v>
      </c>
      <c r="C23" s="7">
        <v>1</v>
      </c>
      <c r="D23" s="3">
        <v>0</v>
      </c>
      <c r="E23" s="3">
        <f>C23*D23</f>
        <v>0</v>
      </c>
      <c r="G23" s="2">
        <v>45493</v>
      </c>
      <c r="H23" s="1" t="s">
        <v>18</v>
      </c>
      <c r="I23" s="7">
        <v>1</v>
      </c>
      <c r="J23" s="3">
        <v>0</v>
      </c>
      <c r="K23" s="3">
        <f>I23*J23</f>
        <v>0</v>
      </c>
    </row>
    <row r="24" spans="1:11" x14ac:dyDescent="0.3">
      <c r="A24" s="2">
        <v>45493</v>
      </c>
      <c r="B24" s="1" t="s">
        <v>9</v>
      </c>
      <c r="C24" s="7">
        <v>1</v>
      </c>
      <c r="D24" s="3">
        <v>0</v>
      </c>
      <c r="E24" s="3">
        <f>C24*D24</f>
        <v>0</v>
      </c>
      <c r="G24" s="2">
        <v>45493</v>
      </c>
      <c r="H24" s="1" t="s">
        <v>9</v>
      </c>
      <c r="I24" s="7">
        <v>1</v>
      </c>
      <c r="J24" s="3">
        <v>0</v>
      </c>
      <c r="K24" s="3">
        <f>I24*J24</f>
        <v>0</v>
      </c>
    </row>
    <row r="25" spans="1:11" x14ac:dyDescent="0.3">
      <c r="A25" s="5" t="s">
        <v>16</v>
      </c>
      <c r="B25" s="5"/>
      <c r="C25" s="6"/>
      <c r="D25" s="6"/>
      <c r="E25" s="6">
        <f>SUM(E21:E24)</f>
        <v>150</v>
      </c>
      <c r="G25" s="5" t="s">
        <v>16</v>
      </c>
      <c r="H25" s="5"/>
      <c r="I25" s="6"/>
      <c r="J25" s="6"/>
      <c r="K25" s="6">
        <f>SUM(K21:K24)</f>
        <v>245</v>
      </c>
    </row>
    <row r="27" spans="1:11" x14ac:dyDescent="0.3">
      <c r="A27" s="9" t="s">
        <v>30</v>
      </c>
      <c r="B27" s="9"/>
      <c r="C27" s="9"/>
      <c r="D27" s="9"/>
      <c r="E27" s="9"/>
      <c r="G27" s="9" t="s">
        <v>32</v>
      </c>
      <c r="H27" s="9"/>
      <c r="I27" s="9"/>
      <c r="J27" s="9"/>
      <c r="K27" s="9"/>
    </row>
    <row r="28" spans="1:11" x14ac:dyDescent="0.3">
      <c r="A28" s="4" t="s">
        <v>0</v>
      </c>
      <c r="B28" s="4" t="s">
        <v>1</v>
      </c>
      <c r="C28" s="4" t="s">
        <v>2</v>
      </c>
      <c r="D28" s="4" t="s">
        <v>3</v>
      </c>
      <c r="E28" s="4" t="s">
        <v>6</v>
      </c>
      <c r="G28" s="4" t="s">
        <v>0</v>
      </c>
      <c r="H28" s="4" t="s">
        <v>1</v>
      </c>
      <c r="I28" s="4" t="s">
        <v>2</v>
      </c>
      <c r="J28" s="4" t="s">
        <v>3</v>
      </c>
      <c r="K28" s="4" t="s">
        <v>6</v>
      </c>
    </row>
    <row r="29" spans="1:11" x14ac:dyDescent="0.3">
      <c r="A29" s="2">
        <v>45494</v>
      </c>
      <c r="B29" s="1" t="s">
        <v>4</v>
      </c>
      <c r="C29" s="7">
        <v>45</v>
      </c>
      <c r="D29" s="3">
        <v>1.5</v>
      </c>
      <c r="E29" s="3">
        <f>C29*D29</f>
        <v>67.5</v>
      </c>
      <c r="G29" s="2">
        <v>45494</v>
      </c>
      <c r="H29" s="1" t="s">
        <v>4</v>
      </c>
      <c r="I29" s="7">
        <v>75</v>
      </c>
      <c r="J29" s="3">
        <v>1.5</v>
      </c>
      <c r="K29" s="3">
        <f>I29*J29</f>
        <v>112.5</v>
      </c>
    </row>
    <row r="30" spans="1:11" x14ac:dyDescent="0.3">
      <c r="A30" s="2">
        <v>45494</v>
      </c>
      <c r="B30" s="1" t="s">
        <v>5</v>
      </c>
      <c r="C30" s="7">
        <v>20</v>
      </c>
      <c r="D30" s="3">
        <v>1.75</v>
      </c>
      <c r="E30" s="3">
        <f>C30*D30</f>
        <v>35</v>
      </c>
      <c r="G30" s="2">
        <v>45494</v>
      </c>
      <c r="H30" s="1" t="s">
        <v>5</v>
      </c>
      <c r="I30" s="7">
        <v>35</v>
      </c>
      <c r="J30" s="3">
        <v>1.75</v>
      </c>
      <c r="K30" s="3">
        <f>I30*J30</f>
        <v>61.25</v>
      </c>
    </row>
    <row r="31" spans="1:11" x14ac:dyDescent="0.3">
      <c r="A31" s="2">
        <v>45494</v>
      </c>
      <c r="B31" s="1" t="s">
        <v>7</v>
      </c>
      <c r="C31" s="7">
        <v>1</v>
      </c>
      <c r="D31" s="3">
        <v>45</v>
      </c>
      <c r="E31" s="3">
        <f>C31*D31</f>
        <v>45</v>
      </c>
      <c r="G31" s="2">
        <v>45494</v>
      </c>
      <c r="H31" s="1" t="s">
        <v>7</v>
      </c>
      <c r="I31" s="7">
        <v>2</v>
      </c>
      <c r="J31" s="3">
        <v>45</v>
      </c>
      <c r="K31" s="3">
        <f>I31*J31</f>
        <v>90</v>
      </c>
    </row>
    <row r="32" spans="1:11" x14ac:dyDescent="0.3">
      <c r="A32" s="2">
        <v>45494</v>
      </c>
      <c r="B32" s="1" t="s">
        <v>8</v>
      </c>
      <c r="C32" s="7">
        <v>2</v>
      </c>
      <c r="D32" s="3">
        <v>50</v>
      </c>
      <c r="E32" s="3">
        <f>C32*D32</f>
        <v>100</v>
      </c>
      <c r="G32" s="2">
        <v>45494</v>
      </c>
      <c r="H32" s="1" t="s">
        <v>8</v>
      </c>
      <c r="I32" s="7">
        <v>3</v>
      </c>
      <c r="J32" s="3">
        <v>50</v>
      </c>
      <c r="K32" s="3">
        <f>I32*J32</f>
        <v>150</v>
      </c>
    </row>
    <row r="33" spans="1:11" x14ac:dyDescent="0.3">
      <c r="A33" s="2">
        <v>45494</v>
      </c>
      <c r="B33" s="1" t="s">
        <v>9</v>
      </c>
      <c r="C33" s="7">
        <v>1</v>
      </c>
      <c r="D33" s="3">
        <v>0</v>
      </c>
      <c r="E33" s="3">
        <f>C33*D33</f>
        <v>0</v>
      </c>
      <c r="G33" s="2">
        <v>45494</v>
      </c>
      <c r="H33" s="1" t="s">
        <v>9</v>
      </c>
      <c r="I33" s="7">
        <v>2</v>
      </c>
      <c r="J33" s="3">
        <v>0</v>
      </c>
      <c r="K33" s="3">
        <f>I33*J33</f>
        <v>0</v>
      </c>
    </row>
    <row r="34" spans="1:11" x14ac:dyDescent="0.3">
      <c r="A34" s="5" t="s">
        <v>19</v>
      </c>
      <c r="B34" s="5"/>
      <c r="C34" s="6"/>
      <c r="D34" s="6"/>
      <c r="E34" s="6">
        <f>SUM(E29:E33)</f>
        <v>247.5</v>
      </c>
      <c r="G34" s="5" t="s">
        <v>19</v>
      </c>
      <c r="H34" s="5"/>
      <c r="I34" s="6"/>
      <c r="J34" s="6"/>
      <c r="K34" s="6">
        <f>SUM(K29:K33)</f>
        <v>413.75</v>
      </c>
    </row>
    <row r="39" spans="1:11" x14ac:dyDescent="0.3">
      <c r="A39" s="4" t="s">
        <v>0</v>
      </c>
      <c r="B39" s="4" t="s">
        <v>34</v>
      </c>
      <c r="C39" s="4" t="s">
        <v>33</v>
      </c>
      <c r="D39" s="4" t="s">
        <v>36</v>
      </c>
    </row>
    <row r="40" spans="1:11" x14ac:dyDescent="0.3">
      <c r="A40" s="1" t="s">
        <v>21</v>
      </c>
      <c r="B40" s="3">
        <f>E7</f>
        <v>110</v>
      </c>
      <c r="C40" s="3">
        <f>K8</f>
        <v>342.5</v>
      </c>
      <c r="D40" s="3">
        <f>B40+C40</f>
        <v>452.5</v>
      </c>
    </row>
    <row r="41" spans="1:11" x14ac:dyDescent="0.3">
      <c r="A41" s="1" t="s">
        <v>22</v>
      </c>
      <c r="B41" s="3">
        <f>E17</f>
        <v>172.5</v>
      </c>
      <c r="C41" s="3">
        <f>K17</f>
        <v>303.75</v>
      </c>
      <c r="D41" s="3">
        <f t="shared" ref="D41:D44" si="2">B41+C41</f>
        <v>476.25</v>
      </c>
    </row>
    <row r="42" spans="1:11" x14ac:dyDescent="0.3">
      <c r="A42" s="1" t="s">
        <v>23</v>
      </c>
      <c r="B42" s="3">
        <f>E25</f>
        <v>150</v>
      </c>
      <c r="C42" s="3">
        <f>K25</f>
        <v>245</v>
      </c>
      <c r="D42" s="3">
        <f t="shared" si="2"/>
        <v>395</v>
      </c>
    </row>
    <row r="43" spans="1:11" x14ac:dyDescent="0.3">
      <c r="A43" s="1" t="s">
        <v>24</v>
      </c>
      <c r="B43" s="3">
        <f>E34</f>
        <v>247.5</v>
      </c>
      <c r="C43" s="3">
        <f>K34</f>
        <v>413.75</v>
      </c>
      <c r="D43" s="3">
        <f t="shared" si="2"/>
        <v>661.25</v>
      </c>
    </row>
    <row r="44" spans="1:11" x14ac:dyDescent="0.3">
      <c r="A44" s="1" t="s">
        <v>25</v>
      </c>
      <c r="B44" s="3">
        <f>SUM(B40:B43)*8.25%</f>
        <v>56.1</v>
      </c>
      <c r="C44" s="3">
        <f>SUM(C40:C43)*8.25%</f>
        <v>107.66250000000001</v>
      </c>
      <c r="D44" s="3">
        <f t="shared" si="2"/>
        <v>163.76250000000002</v>
      </c>
    </row>
    <row r="45" spans="1:11" x14ac:dyDescent="0.3">
      <c r="A45" s="5" t="s">
        <v>6</v>
      </c>
      <c r="B45" s="6">
        <f>SUM(B40:B44)</f>
        <v>736.1</v>
      </c>
      <c r="C45" s="6">
        <f>SUM(C40:C44)</f>
        <v>1412.6624999999999</v>
      </c>
      <c r="D45" s="6">
        <f>SUM(D40:D44)</f>
        <v>2148.7624999999998</v>
      </c>
    </row>
    <row r="46" spans="1:11" x14ac:dyDescent="0.3">
      <c r="A46" s="8" t="s">
        <v>35</v>
      </c>
      <c r="B46" s="1"/>
      <c r="C46" s="1"/>
      <c r="D46" s="1"/>
    </row>
  </sheetData>
  <mergeCells count="8">
    <mergeCell ref="A27:E27"/>
    <mergeCell ref="G27:K27"/>
    <mergeCell ref="A1:E1"/>
    <mergeCell ref="G1:K1"/>
    <mergeCell ref="A9:E9"/>
    <mergeCell ref="G9:K9"/>
    <mergeCell ref="A19:E19"/>
    <mergeCell ref="G19:K19"/>
  </mergeCells>
  <phoneticPr fontId="3" type="noConversion"/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81BCD-9C0A-4BAC-878B-07EBFB2BA84B}">
  <dimension ref="A1:K46"/>
  <sheetViews>
    <sheetView workbookViewId="0">
      <selection activeCell="D13" sqref="D13"/>
    </sheetView>
  </sheetViews>
  <sheetFormatPr defaultRowHeight="14.4" x14ac:dyDescent="0.3"/>
  <cols>
    <col min="1" max="1" width="10.21875" bestFit="1" customWidth="1"/>
    <col min="2" max="2" width="13.6640625" bestFit="1" customWidth="1"/>
    <col min="3" max="3" width="9.5546875" bestFit="1" customWidth="1"/>
    <col min="4" max="4" width="14.6640625" bestFit="1" customWidth="1"/>
    <col min="5" max="5" width="7.5546875" bestFit="1" customWidth="1"/>
    <col min="6" max="6" width="2.6640625" customWidth="1"/>
    <col min="7" max="7" width="11.21875" bestFit="1" customWidth="1"/>
    <col min="8" max="8" width="13.6640625" bestFit="1" customWidth="1"/>
    <col min="13" max="13" width="32" bestFit="1" customWidth="1"/>
    <col min="14" max="15" width="9.5546875" bestFit="1" customWidth="1"/>
    <col min="16" max="16" width="14.6640625" bestFit="1" customWidth="1"/>
  </cols>
  <sheetData>
    <row r="1" spans="1:11" x14ac:dyDescent="0.3">
      <c r="A1" s="9" t="s">
        <v>30</v>
      </c>
      <c r="B1" s="9"/>
      <c r="C1" s="9"/>
      <c r="D1" s="9"/>
      <c r="E1" s="9"/>
      <c r="G1" s="9" t="s">
        <v>31</v>
      </c>
      <c r="H1" s="9"/>
      <c r="I1" s="9"/>
      <c r="J1" s="9"/>
      <c r="K1" s="9"/>
    </row>
    <row r="2" spans="1:11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6</v>
      </c>
      <c r="G2" s="4" t="s">
        <v>0</v>
      </c>
      <c r="H2" s="4" t="s">
        <v>1</v>
      </c>
      <c r="I2" s="4" t="s">
        <v>2</v>
      </c>
      <c r="J2" s="4" t="s">
        <v>3</v>
      </c>
      <c r="K2" s="4" t="s">
        <v>6</v>
      </c>
    </row>
    <row r="3" spans="1:11" x14ac:dyDescent="0.3">
      <c r="A3" s="2">
        <v>45491</v>
      </c>
      <c r="B3" s="1" t="s">
        <v>11</v>
      </c>
      <c r="C3" s="7">
        <v>2</v>
      </c>
      <c r="D3" s="3">
        <v>25</v>
      </c>
      <c r="E3" s="3">
        <f>C3*D3</f>
        <v>50</v>
      </c>
      <c r="G3" s="2">
        <v>45491</v>
      </c>
      <c r="H3" s="1" t="s">
        <v>11</v>
      </c>
      <c r="I3" s="7">
        <v>3</v>
      </c>
      <c r="J3" s="3">
        <v>25</v>
      </c>
      <c r="K3" s="3">
        <f>I3*J3</f>
        <v>75</v>
      </c>
    </row>
    <row r="4" spans="1:11" x14ac:dyDescent="0.3">
      <c r="A4" s="2">
        <v>45491</v>
      </c>
      <c r="B4" s="1" t="s">
        <v>12</v>
      </c>
      <c r="C4" s="7">
        <v>30</v>
      </c>
      <c r="D4" s="3">
        <v>1.5</v>
      </c>
      <c r="E4" s="3">
        <f>C4*D4</f>
        <v>45</v>
      </c>
      <c r="G4" s="2">
        <v>45491</v>
      </c>
      <c r="H4" s="1" t="s">
        <v>27</v>
      </c>
      <c r="I4" s="7">
        <v>2</v>
      </c>
      <c r="J4" s="3">
        <v>40</v>
      </c>
      <c r="K4" s="3">
        <f>I4*J4</f>
        <v>80</v>
      </c>
    </row>
    <row r="5" spans="1:11" x14ac:dyDescent="0.3">
      <c r="A5" s="2">
        <v>45491</v>
      </c>
      <c r="B5" s="1" t="s">
        <v>27</v>
      </c>
      <c r="C5" s="7">
        <v>2</v>
      </c>
      <c r="D5" s="3">
        <v>40</v>
      </c>
      <c r="E5" s="3">
        <f>C5*D5</f>
        <v>80</v>
      </c>
      <c r="G5" s="2">
        <v>45491</v>
      </c>
      <c r="H5" s="1" t="s">
        <v>28</v>
      </c>
      <c r="I5" s="7">
        <v>1.5</v>
      </c>
      <c r="J5" s="3">
        <v>75</v>
      </c>
      <c r="K5" s="3">
        <f>I5*J5</f>
        <v>112.5</v>
      </c>
    </row>
    <row r="6" spans="1:11" x14ac:dyDescent="0.3">
      <c r="A6" s="2">
        <v>45491</v>
      </c>
      <c r="B6" s="1" t="s">
        <v>26</v>
      </c>
      <c r="C6" s="7">
        <v>3</v>
      </c>
      <c r="D6" s="3">
        <v>6</v>
      </c>
      <c r="E6" s="3">
        <f>C6*D6</f>
        <v>18</v>
      </c>
      <c r="G6" s="2">
        <v>45491</v>
      </c>
      <c r="H6" s="1" t="s">
        <v>18</v>
      </c>
      <c r="I6" s="7">
        <v>2</v>
      </c>
      <c r="J6" s="3">
        <v>0</v>
      </c>
      <c r="K6" s="3">
        <f>I6*J6</f>
        <v>0</v>
      </c>
    </row>
    <row r="7" spans="1:11" x14ac:dyDescent="0.3">
      <c r="A7" s="5" t="s">
        <v>10</v>
      </c>
      <c r="B7" s="5"/>
      <c r="C7" s="6"/>
      <c r="D7" s="6"/>
      <c r="E7" s="6">
        <f>SUM(E3:E6)</f>
        <v>193</v>
      </c>
      <c r="G7" s="2">
        <v>45491</v>
      </c>
      <c r="H7" s="1" t="s">
        <v>29</v>
      </c>
      <c r="I7" s="7">
        <v>1</v>
      </c>
      <c r="J7" s="3">
        <v>75</v>
      </c>
      <c r="K7" s="3">
        <f>I7*J7</f>
        <v>75</v>
      </c>
    </row>
    <row r="8" spans="1:11" x14ac:dyDescent="0.3">
      <c r="G8" s="5" t="s">
        <v>13</v>
      </c>
      <c r="H8" s="5"/>
      <c r="I8" s="6"/>
      <c r="J8" s="6"/>
      <c r="K8" s="6">
        <f>SUM(K3:K7)</f>
        <v>342.5</v>
      </c>
    </row>
    <row r="9" spans="1:11" x14ac:dyDescent="0.3">
      <c r="A9" s="9" t="s">
        <v>30</v>
      </c>
      <c r="B9" s="9"/>
      <c r="C9" s="9"/>
      <c r="D9" s="9"/>
      <c r="E9" s="9"/>
      <c r="G9" s="9" t="s">
        <v>32</v>
      </c>
      <c r="H9" s="9"/>
      <c r="I9" s="9"/>
      <c r="J9" s="9"/>
      <c r="K9" s="9"/>
    </row>
    <row r="10" spans="1:11" x14ac:dyDescent="0.3">
      <c r="A10" s="4" t="s">
        <v>0</v>
      </c>
      <c r="B10" s="4" t="s">
        <v>1</v>
      </c>
      <c r="C10" s="4" t="s">
        <v>2</v>
      </c>
      <c r="D10" s="4" t="s">
        <v>3</v>
      </c>
      <c r="E10" s="4" t="s">
        <v>6</v>
      </c>
      <c r="G10" s="4" t="s">
        <v>0</v>
      </c>
      <c r="H10" s="4" t="s">
        <v>1</v>
      </c>
      <c r="I10" s="4" t="s">
        <v>2</v>
      </c>
      <c r="J10" s="4" t="s">
        <v>3</v>
      </c>
      <c r="K10" s="4" t="s">
        <v>6</v>
      </c>
    </row>
    <row r="11" spans="1:11" x14ac:dyDescent="0.3">
      <c r="A11" s="2">
        <v>45492</v>
      </c>
      <c r="B11" s="1" t="s">
        <v>14</v>
      </c>
      <c r="C11" s="7">
        <v>15</v>
      </c>
      <c r="D11" s="3">
        <v>2</v>
      </c>
      <c r="E11" s="3">
        <f t="shared" ref="E11:E16" si="0">C11*D11</f>
        <v>30</v>
      </c>
      <c r="G11" s="2">
        <v>45492</v>
      </c>
      <c r="H11" s="1" t="s">
        <v>14</v>
      </c>
      <c r="I11" s="7">
        <v>25</v>
      </c>
      <c r="J11" s="3">
        <v>2</v>
      </c>
      <c r="K11" s="3">
        <f t="shared" ref="K11:K16" si="1">I11*J11</f>
        <v>50</v>
      </c>
    </row>
    <row r="12" spans="1:11" x14ac:dyDescent="0.3">
      <c r="A12" s="2">
        <v>45492</v>
      </c>
      <c r="B12" s="1" t="s">
        <v>15</v>
      </c>
      <c r="C12" s="7">
        <v>1</v>
      </c>
      <c r="D12" s="3">
        <v>40</v>
      </c>
      <c r="E12" s="3">
        <f t="shared" si="0"/>
        <v>40</v>
      </c>
      <c r="G12" s="2">
        <v>45492</v>
      </c>
      <c r="H12" s="1" t="s">
        <v>15</v>
      </c>
      <c r="I12" s="7">
        <v>2</v>
      </c>
      <c r="J12" s="3">
        <v>40</v>
      </c>
      <c r="K12" s="3">
        <f t="shared" si="1"/>
        <v>80</v>
      </c>
    </row>
    <row r="13" spans="1:11" x14ac:dyDescent="0.3">
      <c r="A13" s="2">
        <v>45492</v>
      </c>
      <c r="B13" s="1" t="s">
        <v>4</v>
      </c>
      <c r="C13" s="7">
        <v>45</v>
      </c>
      <c r="D13" s="3">
        <v>1.5</v>
      </c>
      <c r="E13" s="3">
        <f t="shared" si="0"/>
        <v>67.5</v>
      </c>
      <c r="G13" s="2">
        <v>45492</v>
      </c>
      <c r="H13" s="1" t="s">
        <v>4</v>
      </c>
      <c r="I13" s="7">
        <v>75</v>
      </c>
      <c r="J13" s="3">
        <v>1.5</v>
      </c>
      <c r="K13" s="3">
        <f t="shared" si="1"/>
        <v>112.5</v>
      </c>
    </row>
    <row r="14" spans="1:11" x14ac:dyDescent="0.3">
      <c r="A14" s="2">
        <v>45492</v>
      </c>
      <c r="B14" s="1" t="s">
        <v>5</v>
      </c>
      <c r="C14" s="7">
        <v>20</v>
      </c>
      <c r="D14" s="3">
        <v>1.75</v>
      </c>
      <c r="E14" s="3">
        <f t="shared" si="0"/>
        <v>35</v>
      </c>
      <c r="G14" s="2">
        <v>45492</v>
      </c>
      <c r="H14" s="1" t="s">
        <v>5</v>
      </c>
      <c r="I14" s="7">
        <v>35</v>
      </c>
      <c r="J14" s="3">
        <v>1.75</v>
      </c>
      <c r="K14" s="3">
        <f t="shared" si="1"/>
        <v>61.25</v>
      </c>
    </row>
    <row r="15" spans="1:11" x14ac:dyDescent="0.3">
      <c r="A15" s="2">
        <v>45492</v>
      </c>
      <c r="B15" s="1" t="s">
        <v>8</v>
      </c>
      <c r="C15" s="7">
        <v>2</v>
      </c>
      <c r="D15" s="3">
        <v>50</v>
      </c>
      <c r="E15" s="3">
        <f t="shared" si="0"/>
        <v>100</v>
      </c>
      <c r="G15" s="2">
        <v>45492</v>
      </c>
      <c r="H15" s="1" t="s">
        <v>8</v>
      </c>
      <c r="I15" s="7">
        <v>3</v>
      </c>
      <c r="J15" s="3">
        <v>50</v>
      </c>
      <c r="K15" s="3">
        <f t="shared" si="1"/>
        <v>150</v>
      </c>
    </row>
    <row r="16" spans="1:11" x14ac:dyDescent="0.3">
      <c r="A16" s="2">
        <v>45492</v>
      </c>
      <c r="B16" s="1" t="s">
        <v>9</v>
      </c>
      <c r="C16" s="7">
        <v>1</v>
      </c>
      <c r="D16" s="3">
        <v>0</v>
      </c>
      <c r="E16" s="3">
        <f t="shared" si="0"/>
        <v>0</v>
      </c>
      <c r="G16" s="2">
        <v>45492</v>
      </c>
      <c r="H16" s="1" t="s">
        <v>9</v>
      </c>
      <c r="I16" s="7">
        <v>2</v>
      </c>
      <c r="J16" s="3">
        <v>0</v>
      </c>
      <c r="K16" s="3">
        <f t="shared" si="1"/>
        <v>0</v>
      </c>
    </row>
    <row r="17" spans="1:11" x14ac:dyDescent="0.3">
      <c r="A17" s="5" t="s">
        <v>13</v>
      </c>
      <c r="B17" s="5"/>
      <c r="C17" s="6"/>
      <c r="D17" s="6"/>
      <c r="E17" s="6">
        <f>SUM(E11:E14)</f>
        <v>172.5</v>
      </c>
      <c r="G17" s="5" t="s">
        <v>13</v>
      </c>
      <c r="H17" s="5"/>
      <c r="I17" s="6"/>
      <c r="J17" s="6"/>
      <c r="K17" s="6">
        <f>SUM(K11:K14)</f>
        <v>303.75</v>
      </c>
    </row>
    <row r="19" spans="1:11" x14ac:dyDescent="0.3">
      <c r="A19" s="9" t="s">
        <v>30</v>
      </c>
      <c r="B19" s="9"/>
      <c r="C19" s="9"/>
      <c r="D19" s="9"/>
      <c r="E19" s="9"/>
      <c r="G19" s="9" t="s">
        <v>32</v>
      </c>
      <c r="H19" s="9"/>
      <c r="I19" s="9"/>
      <c r="J19" s="9"/>
      <c r="K19" s="9"/>
    </row>
    <row r="20" spans="1:11" x14ac:dyDescent="0.3">
      <c r="A20" s="4" t="s">
        <v>0</v>
      </c>
      <c r="B20" s="4" t="s">
        <v>1</v>
      </c>
      <c r="C20" s="4" t="s">
        <v>2</v>
      </c>
      <c r="D20" s="4" t="s">
        <v>3</v>
      </c>
      <c r="E20" s="4" t="s">
        <v>6</v>
      </c>
      <c r="G20" s="4" t="s">
        <v>0</v>
      </c>
      <c r="H20" s="4" t="s">
        <v>1</v>
      </c>
      <c r="I20" s="4" t="s">
        <v>2</v>
      </c>
      <c r="J20" s="4" t="s">
        <v>3</v>
      </c>
      <c r="K20" s="4" t="s">
        <v>6</v>
      </c>
    </row>
    <row r="21" spans="1:11" x14ac:dyDescent="0.3">
      <c r="A21" s="2">
        <v>45493</v>
      </c>
      <c r="B21" s="1" t="s">
        <v>17</v>
      </c>
      <c r="C21" s="7">
        <v>2</v>
      </c>
      <c r="D21" s="3">
        <v>55</v>
      </c>
      <c r="E21" s="3">
        <f>C21*D21</f>
        <v>110</v>
      </c>
      <c r="G21" s="2">
        <v>45493</v>
      </c>
      <c r="H21" s="1" t="s">
        <v>17</v>
      </c>
      <c r="I21" s="7">
        <v>3</v>
      </c>
      <c r="J21" s="3">
        <v>55</v>
      </c>
      <c r="K21" s="3">
        <f>I21*J21</f>
        <v>165</v>
      </c>
    </row>
    <row r="22" spans="1:11" x14ac:dyDescent="0.3">
      <c r="A22" s="2">
        <v>45493</v>
      </c>
      <c r="B22" s="1" t="s">
        <v>20</v>
      </c>
      <c r="C22" s="7">
        <v>1</v>
      </c>
      <c r="D22" s="3">
        <v>40</v>
      </c>
      <c r="E22" s="3">
        <f>C22*D22</f>
        <v>40</v>
      </c>
      <c r="G22" s="2">
        <v>45493</v>
      </c>
      <c r="H22" s="1" t="s">
        <v>20</v>
      </c>
      <c r="I22" s="7">
        <v>2</v>
      </c>
      <c r="J22" s="3">
        <v>40</v>
      </c>
      <c r="K22" s="3">
        <f>I22*J22</f>
        <v>80</v>
      </c>
    </row>
    <row r="23" spans="1:11" x14ac:dyDescent="0.3">
      <c r="A23" s="2">
        <v>45493</v>
      </c>
      <c r="B23" s="1" t="s">
        <v>18</v>
      </c>
      <c r="C23" s="7">
        <v>1</v>
      </c>
      <c r="D23" s="3">
        <v>0</v>
      </c>
      <c r="E23" s="3">
        <f>C23*D23</f>
        <v>0</v>
      </c>
      <c r="G23" s="2">
        <v>45493</v>
      </c>
      <c r="H23" s="1" t="s">
        <v>18</v>
      </c>
      <c r="I23" s="7">
        <v>1</v>
      </c>
      <c r="J23" s="3">
        <v>0</v>
      </c>
      <c r="K23" s="3">
        <f>I23*J23</f>
        <v>0</v>
      </c>
    </row>
    <row r="24" spans="1:11" x14ac:dyDescent="0.3">
      <c r="A24" s="2">
        <v>45493</v>
      </c>
      <c r="B24" s="1" t="s">
        <v>9</v>
      </c>
      <c r="C24" s="7">
        <v>1</v>
      </c>
      <c r="D24" s="3">
        <v>0</v>
      </c>
      <c r="E24" s="3">
        <f>C24*D24</f>
        <v>0</v>
      </c>
      <c r="G24" s="2">
        <v>45493</v>
      </c>
      <c r="H24" s="1" t="s">
        <v>9</v>
      </c>
      <c r="I24" s="7">
        <v>1</v>
      </c>
      <c r="J24" s="3">
        <v>0</v>
      </c>
      <c r="K24" s="3">
        <f>I24*J24</f>
        <v>0</v>
      </c>
    </row>
    <row r="25" spans="1:11" x14ac:dyDescent="0.3">
      <c r="A25" s="5" t="s">
        <v>16</v>
      </c>
      <c r="B25" s="5"/>
      <c r="C25" s="6"/>
      <c r="D25" s="6"/>
      <c r="E25" s="6">
        <f>SUM(E21:E24)</f>
        <v>150</v>
      </c>
      <c r="G25" s="5" t="s">
        <v>16</v>
      </c>
      <c r="H25" s="5"/>
      <c r="I25" s="6"/>
      <c r="J25" s="6"/>
      <c r="K25" s="6">
        <f>SUM(K21:K24)</f>
        <v>245</v>
      </c>
    </row>
    <row r="27" spans="1:11" x14ac:dyDescent="0.3">
      <c r="A27" s="9" t="s">
        <v>30</v>
      </c>
      <c r="B27" s="9"/>
      <c r="C27" s="9"/>
      <c r="D27" s="9"/>
      <c r="E27" s="9"/>
      <c r="G27" s="9" t="s">
        <v>32</v>
      </c>
      <c r="H27" s="9"/>
      <c r="I27" s="9"/>
      <c r="J27" s="9"/>
      <c r="K27" s="9"/>
    </row>
    <row r="28" spans="1:11" x14ac:dyDescent="0.3">
      <c r="A28" s="4" t="s">
        <v>0</v>
      </c>
      <c r="B28" s="4" t="s">
        <v>1</v>
      </c>
      <c r="C28" s="4" t="s">
        <v>2</v>
      </c>
      <c r="D28" s="4" t="s">
        <v>3</v>
      </c>
      <c r="E28" s="4" t="s">
        <v>6</v>
      </c>
      <c r="G28" s="4" t="s">
        <v>0</v>
      </c>
      <c r="H28" s="4" t="s">
        <v>1</v>
      </c>
      <c r="I28" s="4" t="s">
        <v>2</v>
      </c>
      <c r="J28" s="4" t="s">
        <v>3</v>
      </c>
      <c r="K28" s="4" t="s">
        <v>6</v>
      </c>
    </row>
    <row r="29" spans="1:11" x14ac:dyDescent="0.3">
      <c r="A29" s="2">
        <v>45494</v>
      </c>
      <c r="B29" s="1" t="s">
        <v>4</v>
      </c>
      <c r="C29" s="7">
        <v>45</v>
      </c>
      <c r="D29" s="3">
        <v>1.5</v>
      </c>
      <c r="E29" s="3">
        <f>C29*D29</f>
        <v>67.5</v>
      </c>
      <c r="G29" s="2">
        <v>45494</v>
      </c>
      <c r="H29" s="1" t="s">
        <v>4</v>
      </c>
      <c r="I29" s="7">
        <v>75</v>
      </c>
      <c r="J29" s="3">
        <v>1.5</v>
      </c>
      <c r="K29" s="3">
        <f>I29*J29</f>
        <v>112.5</v>
      </c>
    </row>
    <row r="30" spans="1:11" x14ac:dyDescent="0.3">
      <c r="A30" s="2">
        <v>45494</v>
      </c>
      <c r="B30" s="1" t="s">
        <v>5</v>
      </c>
      <c r="C30" s="7">
        <v>20</v>
      </c>
      <c r="D30" s="3">
        <v>1.75</v>
      </c>
      <c r="E30" s="3">
        <f>C30*D30</f>
        <v>35</v>
      </c>
      <c r="G30" s="2">
        <v>45494</v>
      </c>
      <c r="H30" s="1" t="s">
        <v>5</v>
      </c>
      <c r="I30" s="7">
        <v>35</v>
      </c>
      <c r="J30" s="3">
        <v>1.75</v>
      </c>
      <c r="K30" s="3">
        <f>I30*J30</f>
        <v>61.25</v>
      </c>
    </row>
    <row r="31" spans="1:11" x14ac:dyDescent="0.3">
      <c r="A31" s="2">
        <v>45494</v>
      </c>
      <c r="B31" s="1" t="s">
        <v>7</v>
      </c>
      <c r="C31" s="7">
        <v>1</v>
      </c>
      <c r="D31" s="3">
        <v>45</v>
      </c>
      <c r="E31" s="3">
        <f>C31*D31</f>
        <v>45</v>
      </c>
      <c r="G31" s="2">
        <v>45494</v>
      </c>
      <c r="H31" s="1" t="s">
        <v>7</v>
      </c>
      <c r="I31" s="7">
        <v>2</v>
      </c>
      <c r="J31" s="3">
        <v>45</v>
      </c>
      <c r="K31" s="3">
        <f>I31*J31</f>
        <v>90</v>
      </c>
    </row>
    <row r="32" spans="1:11" x14ac:dyDescent="0.3">
      <c r="A32" s="2">
        <v>45494</v>
      </c>
      <c r="B32" s="1" t="s">
        <v>8</v>
      </c>
      <c r="C32" s="7">
        <v>2</v>
      </c>
      <c r="D32" s="3">
        <v>50</v>
      </c>
      <c r="E32" s="3">
        <f>C32*D32</f>
        <v>100</v>
      </c>
      <c r="G32" s="2">
        <v>45494</v>
      </c>
      <c r="H32" s="1" t="s">
        <v>8</v>
      </c>
      <c r="I32" s="7">
        <v>3</v>
      </c>
      <c r="J32" s="3">
        <v>50</v>
      </c>
      <c r="K32" s="3">
        <f>I32*J32</f>
        <v>150</v>
      </c>
    </row>
    <row r="33" spans="1:11" x14ac:dyDescent="0.3">
      <c r="A33" s="2">
        <v>45494</v>
      </c>
      <c r="B33" s="1" t="s">
        <v>9</v>
      </c>
      <c r="C33" s="7">
        <v>1</v>
      </c>
      <c r="D33" s="3">
        <v>0</v>
      </c>
      <c r="E33" s="3">
        <f>C33*D33</f>
        <v>0</v>
      </c>
      <c r="G33" s="2">
        <v>45494</v>
      </c>
      <c r="H33" s="1" t="s">
        <v>9</v>
      </c>
      <c r="I33" s="7">
        <v>2</v>
      </c>
      <c r="J33" s="3">
        <v>0</v>
      </c>
      <c r="K33" s="3">
        <f>I33*J33</f>
        <v>0</v>
      </c>
    </row>
    <row r="34" spans="1:11" x14ac:dyDescent="0.3">
      <c r="A34" s="5" t="s">
        <v>19</v>
      </c>
      <c r="B34" s="5"/>
      <c r="C34" s="6"/>
      <c r="D34" s="6"/>
      <c r="E34" s="6">
        <f>SUM(E29:E33)</f>
        <v>247.5</v>
      </c>
      <c r="G34" s="5" t="s">
        <v>19</v>
      </c>
      <c r="H34" s="5"/>
      <c r="I34" s="6"/>
      <c r="J34" s="6"/>
      <c r="K34" s="6">
        <f>SUM(K29:K33)</f>
        <v>413.75</v>
      </c>
    </row>
    <row r="39" spans="1:11" x14ac:dyDescent="0.3">
      <c r="A39" s="4" t="s">
        <v>0</v>
      </c>
      <c r="B39" s="4" t="s">
        <v>34</v>
      </c>
      <c r="C39" s="4" t="s">
        <v>33</v>
      </c>
      <c r="D39" s="4" t="s">
        <v>36</v>
      </c>
    </row>
    <row r="40" spans="1:11" x14ac:dyDescent="0.3">
      <c r="A40" s="1" t="s">
        <v>21</v>
      </c>
      <c r="B40" s="3">
        <f>E7</f>
        <v>193</v>
      </c>
      <c r="C40" s="3">
        <f>K8</f>
        <v>342.5</v>
      </c>
      <c r="D40" s="3">
        <f>B40+C40</f>
        <v>535.5</v>
      </c>
    </row>
    <row r="41" spans="1:11" x14ac:dyDescent="0.3">
      <c r="A41" s="1" t="s">
        <v>22</v>
      </c>
      <c r="B41" s="3">
        <f>E17</f>
        <v>172.5</v>
      </c>
      <c r="C41" s="3">
        <f>K17</f>
        <v>303.75</v>
      </c>
      <c r="D41" s="3">
        <f t="shared" ref="D41:D44" si="2">B41+C41</f>
        <v>476.25</v>
      </c>
    </row>
    <row r="42" spans="1:11" x14ac:dyDescent="0.3">
      <c r="A42" s="1" t="s">
        <v>23</v>
      </c>
      <c r="B42" s="3">
        <f>E25</f>
        <v>150</v>
      </c>
      <c r="C42" s="3">
        <f>K25</f>
        <v>245</v>
      </c>
      <c r="D42" s="3">
        <f t="shared" si="2"/>
        <v>395</v>
      </c>
    </row>
    <row r="43" spans="1:11" x14ac:dyDescent="0.3">
      <c r="A43" s="1" t="s">
        <v>24</v>
      </c>
      <c r="B43" s="3">
        <f>E34</f>
        <v>247.5</v>
      </c>
      <c r="C43" s="3">
        <f>K34</f>
        <v>413.75</v>
      </c>
      <c r="D43" s="3">
        <f t="shared" si="2"/>
        <v>661.25</v>
      </c>
    </row>
    <row r="44" spans="1:11" x14ac:dyDescent="0.3">
      <c r="A44" s="1" t="s">
        <v>25</v>
      </c>
      <c r="B44" s="3">
        <f>SUM(B40:B43)*8.25%</f>
        <v>62.947500000000005</v>
      </c>
      <c r="C44" s="3">
        <f>SUM(C40:C43)*8.25%</f>
        <v>107.66250000000001</v>
      </c>
      <c r="D44" s="3">
        <f t="shared" si="2"/>
        <v>170.61</v>
      </c>
    </row>
    <row r="45" spans="1:11" x14ac:dyDescent="0.3">
      <c r="A45" s="5" t="s">
        <v>6</v>
      </c>
      <c r="B45" s="6">
        <f>SUM(B40:B44)</f>
        <v>825.94749999999999</v>
      </c>
      <c r="C45" s="6">
        <f>SUM(C40:C44)</f>
        <v>1412.6624999999999</v>
      </c>
      <c r="D45" s="6">
        <f>SUM(D40:D44)</f>
        <v>2238.61</v>
      </c>
    </row>
    <row r="46" spans="1:11" x14ac:dyDescent="0.3">
      <c r="A46" s="8" t="s">
        <v>35</v>
      </c>
      <c r="B46" s="1"/>
      <c r="C46" s="1"/>
      <c r="D46" s="1"/>
    </row>
  </sheetData>
  <mergeCells count="8">
    <mergeCell ref="A27:E27"/>
    <mergeCell ref="G27:K27"/>
    <mergeCell ref="A1:E1"/>
    <mergeCell ref="G1:K1"/>
    <mergeCell ref="A9:E9"/>
    <mergeCell ref="G9:K9"/>
    <mergeCell ref="A19:E19"/>
    <mergeCell ref="G19:K19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Sabina Rowther</dc:creator>
  <cp:lastModifiedBy>Sabina Rowther</cp:lastModifiedBy>
  <cp:lastPrinted>2024-07-07T03:51:01Z</cp:lastPrinted>
  <dcterms:created xsi:type="dcterms:W3CDTF">2024-06-13T20:55:04Z</dcterms:created>
  <dcterms:modified xsi:type="dcterms:W3CDTF">2024-07-24T12:45:43Z</dcterms:modified>
</cp:coreProperties>
</file>